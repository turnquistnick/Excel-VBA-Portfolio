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tur\OneDrive\Documents\Nick's Files\Freelance Files\Invoice Generator\"/>
    </mc:Choice>
  </mc:AlternateContent>
  <xr:revisionPtr revIDLastSave="0" documentId="13_ncr:1_{2671D924-1FBB-4E30-BDC0-E59C90DF46F7}" xr6:coauthVersionLast="47" xr6:coauthVersionMax="47" xr10:uidLastSave="{00000000-0000-0000-0000-000000000000}"/>
  <bookViews>
    <workbookView xWindow="28680" yWindow="-120" windowWidth="29040" windowHeight="15720" activeTab="1" xr2:uid="{7F943804-F363-47BC-A246-71FA90ACBAF1}"/>
  </bookViews>
  <sheets>
    <sheet name="Inventory" sheetId="4" r:id="rId1"/>
    <sheet name="Invoice Generator" sheetId="2" r:id="rId2"/>
    <sheet name="Invoice History" sheetId="5" r:id="rId3"/>
  </sheets>
  <definedNames>
    <definedName name="ItemList">InventoryTable[Item Description]</definedName>
    <definedName name="_xlnm.Print_Area" localSheetId="1">'Invoice Generator'!$A$1:$K$45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B8" i="2"/>
  <c r="B12" i="2" s="1"/>
  <c r="G51" i="4"/>
  <c r="G50" i="4"/>
  <c r="G2" i="4"/>
  <c r="G3" i="4"/>
  <c r="G4" i="4"/>
  <c r="G5" i="4"/>
  <c r="I16" i="2" s="1"/>
  <c r="J16" i="2" s="1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J34" i="2"/>
  <c r="I34" i="2"/>
  <c r="J33" i="2"/>
  <c r="I33" i="2"/>
  <c r="J32" i="2"/>
  <c r="I32" i="2"/>
  <c r="J31" i="2"/>
  <c r="I31" i="2"/>
  <c r="J30" i="2"/>
  <c r="I30" i="2"/>
  <c r="J29" i="2"/>
  <c r="I29" i="2"/>
  <c r="I28" i="2"/>
  <c r="J28" i="2" s="1"/>
  <c r="I27" i="2"/>
  <c r="J27" i="2" s="1"/>
  <c r="I26" i="2"/>
  <c r="J26" i="2" s="1"/>
  <c r="I25" i="2"/>
  <c r="J25" i="2" s="1"/>
  <c r="I24" i="2"/>
  <c r="J24" i="2" s="1"/>
  <c r="I23" i="2"/>
  <c r="J23" i="2" s="1"/>
  <c r="I22" i="2"/>
  <c r="J22" i="2" s="1"/>
  <c r="I21" i="2"/>
  <c r="J21" i="2" s="1"/>
  <c r="I20" i="2"/>
  <c r="J20" i="2" s="1"/>
  <c r="I19" i="2"/>
  <c r="J19" i="2" s="1"/>
  <c r="I18" i="2"/>
  <c r="J18" i="2" s="1"/>
  <c r="I17" i="2"/>
  <c r="J17" i="2" s="1"/>
  <c r="I15" i="2"/>
  <c r="J15" i="2" s="1"/>
  <c r="J37" i="2" l="1" a="1"/>
  <c r="J37" i="2" s="1"/>
  <c r="J36" i="2"/>
  <c r="J35" i="2"/>
  <c r="J38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<sst xmlns="http://schemas.openxmlformats.org/spreadsheetml/2006/main" count="185" uniqueCount="134">
  <si>
    <t>Billing:</t>
  </si>
  <si>
    <t>Qty</t>
  </si>
  <si>
    <t>Unit Price</t>
  </si>
  <si>
    <t>Total</t>
  </si>
  <si>
    <t>Invoice #:</t>
  </si>
  <si>
    <t>Item Description</t>
  </si>
  <si>
    <t>Item #</t>
  </si>
  <si>
    <t>Tax:</t>
  </si>
  <si>
    <t>Subtotal:</t>
  </si>
  <si>
    <t>Amount Due:</t>
  </si>
  <si>
    <t>Invoice Date:</t>
  </si>
  <si>
    <t>Term:</t>
  </si>
  <si>
    <t>Due Date:</t>
  </si>
  <si>
    <t>Days</t>
  </si>
  <si>
    <t>Discounts:</t>
  </si>
  <si>
    <t>Item Part #</t>
  </si>
  <si>
    <t>Qty In Stock</t>
  </si>
  <si>
    <t>Qty On Order</t>
  </si>
  <si>
    <t>Purchase Price</t>
  </si>
  <si>
    <t>Sell Price</t>
  </si>
  <si>
    <t>Markup</t>
  </si>
  <si>
    <t>Tax%</t>
  </si>
  <si>
    <t>Invoice #</t>
  </si>
  <si>
    <t>Invoice Data</t>
  </si>
  <si>
    <t>Quantity</t>
  </si>
  <si>
    <t/>
  </si>
  <si>
    <t>Hex Head Bolt M8x25mm Zinc Plated</t>
  </si>
  <si>
    <t>BLT-9935</t>
  </si>
  <si>
    <t>Stainless Steel Nut M10 Grade 316</t>
  </si>
  <si>
    <t>NUT-4811</t>
  </si>
  <si>
    <t>Phillips Pan Head Screw #8-32x1in</t>
  </si>
  <si>
    <t>SCR-8359</t>
  </si>
  <si>
    <t>Aluminum Mounting Bracket 2x4in</t>
  </si>
  <si>
    <t>PLT-6574</t>
  </si>
  <si>
    <t>Steel Cover Plate 6x6in 14ga</t>
  </si>
  <si>
    <t>BRK-2519</t>
  </si>
  <si>
    <t>Neoprene Seal Ring 3/4in OD</t>
  </si>
  <si>
    <t>HSG-8527</t>
  </si>
  <si>
    <t>Cylindrical Ball Bearing 6202-2RS</t>
  </si>
  <si>
    <t>CVR-6925</t>
  </si>
  <si>
    <t>Compression Spring 1.5in x .5in</t>
  </si>
  <si>
    <t>SLV-2307</t>
  </si>
  <si>
    <t>Plastic Housing Assembly Black ABS</t>
  </si>
  <si>
    <t>BRG-3664</t>
  </si>
  <si>
    <t>Rubber Sleeve Grommet 1/2in ID</t>
  </si>
  <si>
    <t>SPR-3803</t>
  </si>
  <si>
    <t>Flat Washer 5/16in SAE Zinc</t>
  </si>
  <si>
    <t>SLD-4598</t>
  </si>
  <si>
    <t>Wing Nut 1/4-20 Stainless Steel</t>
  </si>
  <si>
    <t>WDG-7572</t>
  </si>
  <si>
    <t>Socket Cap Screw M6x20mm Black</t>
  </si>
  <si>
    <t>BLT-9179</t>
  </si>
  <si>
    <t>Pipe Flange 1in NPT Cast Iron</t>
  </si>
  <si>
    <t>NUT-9830</t>
  </si>
  <si>
    <t>Toggle Clamp Horizontal 200lb</t>
  </si>
  <si>
    <t>SCR-4593</t>
  </si>
  <si>
    <t>Cable Tie 11in Natural Nylon</t>
  </si>
  <si>
    <t>PLT-3504</t>
  </si>
  <si>
    <t>Hose Clamp 1.5-2.5in Stainless</t>
  </si>
  <si>
    <t>BRK-8668</t>
  </si>
  <si>
    <t>Cotter Pin 3/16x2in Zinc</t>
  </si>
  <si>
    <t>HSG-5371</t>
  </si>
  <si>
    <t>Clevis Pin 1/2x2in Zinc Plated</t>
  </si>
  <si>
    <t>CVR-8433</t>
  </si>
  <si>
    <t>Set Screw M5x8mm Cup Point</t>
  </si>
  <si>
    <t>SLV-2743</t>
  </si>
  <si>
    <t>Carriage Bolt 3/8-16x2in Grade 5</t>
  </si>
  <si>
    <t>BRG-7126</t>
  </si>
  <si>
    <t>Lock Washer 3/8in Split Ring</t>
  </si>
  <si>
    <t>SPR-2832</t>
  </si>
  <si>
    <t>Hex Nut 1/2-13 Grade 8 Yellow Zinc</t>
  </si>
  <si>
    <t>SLD-2290</t>
  </si>
  <si>
    <t>Machine Screw 10-32x1.5in Flat Head</t>
  </si>
  <si>
    <t>WDG-8787</t>
  </si>
  <si>
    <t>Sheet Metal Screw #10x1in Self-Tapping</t>
  </si>
  <si>
    <t>BLT-9835</t>
  </si>
  <si>
    <t>Anchor Bolt 1/2x3.5in Wedge Type</t>
  </si>
  <si>
    <t>NUT-8177</t>
  </si>
  <si>
    <t>Eye Bolt 1/4-20x2in Zinc Plated</t>
  </si>
  <si>
    <t>SCR-6539</t>
  </si>
  <si>
    <t>U-Bolt 1/2in Round 2in ID Zinc</t>
  </si>
  <si>
    <t>PLT-1964</t>
  </si>
  <si>
    <t>Threaded Rod 1/2-13x12in Grade B7</t>
  </si>
  <si>
    <t>BRK-4899</t>
  </si>
  <si>
    <t>Drive Pin 3/16x1.25in Hardened</t>
  </si>
  <si>
    <t>HSG-8744</t>
  </si>
  <si>
    <t>Shoulder Bolt M8x20mm Shoulder</t>
  </si>
  <si>
    <t>CVR-2588</t>
  </si>
  <si>
    <t>Thumb Screw 1/4-20x1in Knurled</t>
  </si>
  <si>
    <t>SLV-2612</t>
  </si>
  <si>
    <t>Knob Screw M6x16mm Black Nylon</t>
  </si>
  <si>
    <t>BRG-4139</t>
  </si>
  <si>
    <t>Standoff Hex M3x10mm Brass</t>
  </si>
  <si>
    <t>SPR-8579</t>
  </si>
  <si>
    <t>Barrel Nut M6x15mm Zinc</t>
  </si>
  <si>
    <t>SLD-9856</t>
  </si>
  <si>
    <t>T-Nut 1/4-20 Pronged Zinc</t>
  </si>
  <si>
    <t>WDG-7658</t>
  </si>
  <si>
    <t>Insert Nut M5 Heat-Set Brass</t>
  </si>
  <si>
    <t>BLT-7209</t>
  </si>
  <si>
    <t>Rivet Nut M6 Aluminum Blind</t>
  </si>
  <si>
    <t>NUT-7930</t>
  </si>
  <si>
    <t>Dowel Pin 1/4x1.5in Hardened Steel</t>
  </si>
  <si>
    <t>SCR-1958</t>
  </si>
  <si>
    <t>Tension Pin 3/16x1in Slotted</t>
  </si>
  <si>
    <t>PLT-8811</t>
  </si>
  <si>
    <t>Snap Ring External 1/2in SAE 1060</t>
  </si>
  <si>
    <t>BRK-2122</t>
  </si>
  <si>
    <t>Key Stock 1/4x1/4x2in Plain Steel</t>
  </si>
  <si>
    <t>HSG-1651</t>
  </si>
  <si>
    <t>Woodruff Key 3/16x3/4in Steel</t>
  </si>
  <si>
    <t>CVR-4346</t>
  </si>
  <si>
    <t>Retaining Ring Internal 1in Stainless</t>
  </si>
  <si>
    <t>SLV-5915</t>
  </si>
  <si>
    <t>Slotted Spring Pin 5/16x1.5in</t>
  </si>
  <si>
    <t>BRG-9808</t>
  </si>
  <si>
    <t>Hex Standoff 6-32x.75in Aluminum</t>
  </si>
  <si>
    <t>SPR-5002</t>
  </si>
  <si>
    <t>Nylon Spacer 1/4in ID x 3/8in OD x .5in</t>
  </si>
  <si>
    <t>SLD-9666</t>
  </si>
  <si>
    <t>Copper Crush Washer 14mm ID</t>
  </si>
  <si>
    <t>WDG-2824</t>
  </si>
  <si>
    <t>DISC-0001</t>
  </si>
  <si>
    <t>DISC-0002</t>
  </si>
  <si>
    <t>Legacy Member Discount</t>
  </si>
  <si>
    <t>Coupon 12345</t>
  </si>
  <si>
    <t>Your Business Name Here</t>
  </si>
  <si>
    <t>Type Address Line 1 Here</t>
  </si>
  <si>
    <t>Type Address Line 2 Here</t>
  </si>
  <si>
    <t>Type Address Line 3 Here</t>
  </si>
  <si>
    <t>Customer Name Here</t>
  </si>
  <si>
    <t>Customer Address Line 1</t>
  </si>
  <si>
    <t>Customer Address Line 2</t>
  </si>
  <si>
    <t>Customer Address Line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</si>
</sst>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164" formatCode="&quot;$&quot;#,##0.00"/>
    <numFmt numFmtId="165" formatCode="[$-F800]dddd\,\ mmmm\ dd\,\ yyyy"/>
    <numFmt numFmtId="166" formatCode="dddd\,\ mmm\ dd\,\ 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4" borderId="3" xfId="0" applyFill="1" applyBorder="1" applyAlignment="1">
      <alignment horizontal="center"/>
    </xf>
    <xf numFmtId="0" fontId="0" fillId="4" borderId="3" xfId="0" applyFill="1" applyBorder="1" applyAlignment="1">
      <alignment horizontal="center" wrapText="1"/>
    </xf>
    <xf numFmtId="0" fontId="0" fillId="4" borderId="4" xfId="0" applyFill="1" applyBorder="1"/>
    <xf numFmtId="0" fontId="0" fillId="4" borderId="2" xfId="0" applyFill="1" applyBorder="1" applyAlignment="1">
      <alignment horizontal="center"/>
    </xf>
    <xf numFmtId="0" fontId="0" fillId="2" borderId="0" xfId="0" applyFill="1" applyAlignment="1">
      <alignment horizontal="left"/>
    </xf>
    <xf numFmtId="166" fontId="0" fillId="2" borderId="0" xfId="0" applyNumberFormat="1" applyFill="1"/>
    <xf numFmtId="0" fontId="0" fillId="4" borderId="3" xfId="0" applyFill="1" applyBorder="1" applyAlignment="1">
      <alignment horizontal="left" indent="2"/>
    </xf>
    <xf numFmtId="0" fontId="0" fillId="3" borderId="9" xfId="0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right"/>
    </xf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right"/>
    </xf>
    <xf numFmtId="0" fontId="0" fillId="3" borderId="10" xfId="0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right"/>
    </xf>
    <xf numFmtId="0" fontId="0" fillId="5" borderId="11" xfId="0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64" fontId="0" fillId="5" borderId="11" xfId="0" applyNumberFormat="1" applyFill="1" applyBorder="1" applyAlignment="1">
      <alignment horizontal="center"/>
    </xf>
    <xf numFmtId="164" fontId="0" fillId="5" borderId="11" xfId="0" applyNumberFormat="1" applyFill="1" applyBorder="1" applyAlignment="1">
      <alignment horizontal="right"/>
    </xf>
    <xf numFmtId="164" fontId="0" fillId="2" borderId="1" xfId="0" applyNumberFormat="1" applyFill="1" applyBorder="1"/>
    <xf numFmtId="164" fontId="0" fillId="6" borderId="1" xfId="0" applyNumberFormat="1" applyFill="1" applyBorder="1"/>
    <xf numFmtId="164" fontId="0" fillId="0" borderId="0" xfId="0" applyNumberFormat="1" applyAlignment="1">
      <alignment wrapText="1"/>
    </xf>
    <xf numFmtId="164" fontId="0" fillId="0" borderId="0" xfId="0" applyNumberFormat="1"/>
    <xf numFmtId="10" fontId="0" fillId="0" borderId="0" xfId="1" applyNumberFormat="1" applyFont="1"/>
    <xf numFmtId="0" fontId="0" fillId="7" borderId="0" xfId="0" applyFill="1"/>
    <xf numFmtId="165" fontId="0" fillId="2" borderId="0" xfId="0" applyNumberFormat="1" applyFill="1"/>
    <xf numFmtId="14" fontId="0" fillId="0" borderId="0" xfId="0" applyNumberFormat="1"/>
    <xf numFmtId="49" fontId="0" fillId="0" borderId="0" xfId="0" applyNumberFormat="1"/>
    <xf numFmtId="1" fontId="0" fillId="0" borderId="0" xfId="0" applyNumberFormat="1"/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9" fontId="0" fillId="0" borderId="0" xfId="1" applyFont="1" applyAlignment="1">
      <alignment vertical="center" wrapText="1"/>
    </xf>
    <xf numFmtId="10" fontId="0" fillId="0" borderId="0" xfId="1" applyNumberFormat="1" applyFont="1" applyAlignment="1">
      <alignment vertical="center" wrapText="1"/>
    </xf>
    <xf numFmtId="9" fontId="0" fillId="0" borderId="0" xfId="1" applyFont="1" applyAlignment="1">
      <alignment horizontal="center"/>
    </xf>
    <xf numFmtId="0" fontId="0" fillId="2" borderId="5" xfId="0" applyFill="1" applyBorder="1" applyAlignment="1">
      <alignment horizontal="right" indent="1"/>
    </xf>
    <xf numFmtId="0" fontId="0" fillId="2" borderId="13" xfId="0" applyFill="1" applyBorder="1" applyAlignment="1">
      <alignment horizontal="right" indent="1"/>
    </xf>
    <xf numFmtId="0" fontId="0" fillId="2" borderId="6" xfId="0" applyFill="1" applyBorder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0" fillId="2" borderId="0" xfId="0" applyFill="1" applyAlignment="1">
      <alignment horizontal="right"/>
    </xf>
    <xf numFmtId="49" fontId="0" fillId="3" borderId="5" xfId="0" applyNumberFormat="1" applyFill="1" applyBorder="1" applyAlignment="1">
      <alignment horizontal="left" indent="2"/>
    </xf>
    <xf numFmtId="49" fontId="0" fillId="3" borderId="0" xfId="0" applyNumberFormat="1" applyFill="1" applyAlignment="1">
      <alignment horizontal="left" indent="2"/>
    </xf>
    <xf numFmtId="49" fontId="0" fillId="3" borderId="13" xfId="0" applyNumberFormat="1" applyFill="1" applyBorder="1" applyAlignment="1">
      <alignment horizontal="left" indent="2"/>
    </xf>
    <xf numFmtId="49" fontId="0" fillId="5" borderId="5" xfId="0" applyNumberFormat="1" applyFill="1" applyBorder="1" applyAlignment="1">
      <alignment horizontal="left" indent="2"/>
    </xf>
    <xf numFmtId="49" fontId="0" fillId="5" borderId="0" xfId="0" applyNumberFormat="1" applyFill="1" applyAlignment="1">
      <alignment horizontal="left" indent="2"/>
    </xf>
    <xf numFmtId="49" fontId="0" fillId="5" borderId="13" xfId="0" applyNumberFormat="1" applyFill="1" applyBorder="1" applyAlignment="1">
      <alignment horizontal="left" indent="2"/>
    </xf>
    <xf numFmtId="49" fontId="0" fillId="5" borderId="6" xfId="0" applyNumberFormat="1" applyFill="1" applyBorder="1" applyAlignment="1">
      <alignment horizontal="left" indent="2"/>
    </xf>
    <xf numFmtId="49" fontId="0" fillId="5" borderId="14" xfId="0" applyNumberFormat="1" applyFill="1" applyBorder="1" applyAlignment="1">
      <alignment horizontal="left" indent="2"/>
    </xf>
    <xf numFmtId="49" fontId="0" fillId="5" borderId="7" xfId="0" applyNumberFormat="1" applyFill="1" applyBorder="1" applyAlignment="1">
      <alignment horizontal="left" indent="2"/>
    </xf>
    <xf numFmtId="0" fontId="0" fillId="2" borderId="8" xfId="0" applyFill="1" applyBorder="1" applyAlignment="1">
      <alignment horizontal="right" indent="1"/>
    </xf>
    <xf numFmtId="0" fontId="0" fillId="2" borderId="12" xfId="0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2" fillId="2" borderId="0" xfId="0" applyFont="1" applyFill="1" applyAlignment="1">
      <alignment horizontal="left"/>
    </xf>
    <xf numFmtId="49" fontId="0" fillId="3" borderId="9" xfId="0" applyNumberFormat="1" applyFill="1" applyBorder="1" applyAlignment="1">
      <alignment horizontal="left" indent="2"/>
    </xf>
    <xf numFmtId="49" fontId="0" fillId="5" borderId="10" xfId="0" applyNumberFormat="1" applyFill="1" applyBorder="1" applyAlignment="1">
      <alignment horizontal="left" indent="2"/>
    </xf>
    <xf numFmtId="49" fontId="0" fillId="3" borderId="10" xfId="0" applyNumberFormat="1" applyFill="1" applyBorder="1" applyAlignment="1">
      <alignment horizontal="left" indent="2"/>
    </xf>
    <xf numFmtId="0" fontId="0" fillId="2" borderId="0" xfId="0" applyFill="1" applyAlignment="1">
      <alignment horizontal="left" indent="2"/>
    </xf>
    <xf numFmtId="0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 indent="2"/>
    </xf>
    <xf numFmtId="49" fontId="0" fillId="7" borderId="0" xfId="0" applyNumberFormat="1" applyFill="1"/>
    <xf numFmtId="0" fontId="0" fillId="2" borderId="0" xfId="0" applyFill="1" applyAlignment="1">
      <alignment horizontal="left" wrapText="1" indent="1"/>
    </xf>
  </cellXfs>
  <cellStyles count="2">
    <cellStyle name="Normal" xfId="0" builtinId="0"/>
    <cellStyle name="Percent" xfId="1" builtinId="5"/>
  </cellStyles>
  <dxfs count="10">
    <dxf>
      <fill>
        <patternFill>
          <bgColor theme="5" tint="0.39994506668294322"/>
        </patternFill>
      </fill>
    </dxf>
    <dxf>
      <numFmt numFmtId="14" formatCode="0.00%"/>
      <alignment horizontal="general" vertical="center" textRotation="0" wrapText="1" indent="0" justifyLastLine="0" shrinkToFit="0" readingOrder="0"/>
    </dxf>
    <dxf>
      <numFmt numFmtId="12" formatCode="&quot;$&quot;#,##0.00_);[Red]\(&quot;$&quot;#,##0.00\)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4" formatCode="&quot;$&quot;#,##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53975</xdr:colOff>
      <xdr:row>0</xdr:row>
      <xdr:rowOff>111124</xdr:rowOff>
    </xdr:from>
    <xdr:to>
      <xdr:col>19</xdr:col>
      <xdr:colOff>295275</xdr:colOff>
      <xdr:row>3</xdr:row>
      <xdr:rowOff>12699</xdr:rowOff>
    </xdr:to>
    <xdr:sp macro="[0]!ClearInvoic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85B94DC-7C19-4B22-B2E8-A57C8734AA78}"/>
            </a:ext>
          </a:extLst>
        </xdr:cNvPr>
        <xdr:cNvSpPr/>
      </xdr:nvSpPr>
      <xdr:spPr>
        <a:xfrm>
          <a:off x="9740900" y="111124"/>
          <a:ext cx="1460500" cy="682625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</a:t>
          </a:r>
        </a:p>
      </xdr:txBody>
    </xdr:sp>
    <xdr:clientData fPrintsWithSheet="0"/>
  </xdr:twoCellAnchor>
  <xdr:twoCellAnchor editAs="absolute">
    <xdr:from>
      <xdr:col>14</xdr:col>
      <xdr:colOff>88900</xdr:colOff>
      <xdr:row>0</xdr:row>
      <xdr:rowOff>104774</xdr:rowOff>
    </xdr:from>
    <xdr:to>
      <xdr:col>16</xdr:col>
      <xdr:colOff>330200</xdr:colOff>
      <xdr:row>3</xdr:row>
      <xdr:rowOff>19049</xdr:rowOff>
    </xdr:to>
    <xdr:sp macro="[0]!Generate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0544BE1-AF50-47D6-992D-A3C81B8C77E4}"/>
            </a:ext>
          </a:extLst>
        </xdr:cNvPr>
        <xdr:cNvSpPr/>
      </xdr:nvSpPr>
      <xdr:spPr>
        <a:xfrm>
          <a:off x="7947025" y="104774"/>
          <a:ext cx="1460500" cy="695325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Generate</a:t>
          </a:r>
        </a:p>
      </xdr:txBody>
    </xdr:sp>
    <xdr:clientData fPrintsWithSheet="0"/>
  </xdr:twoCellAnchor>
  <xdr:twoCellAnchor editAs="absolute">
    <xdr:from>
      <xdr:col>11</xdr:col>
      <xdr:colOff>123825</xdr:colOff>
      <xdr:row>0</xdr:row>
      <xdr:rowOff>114298</xdr:rowOff>
    </xdr:from>
    <xdr:to>
      <xdr:col>13</xdr:col>
      <xdr:colOff>365125</xdr:colOff>
      <xdr:row>3</xdr:row>
      <xdr:rowOff>9524</xdr:rowOff>
    </xdr:to>
    <xdr:sp macro="[0]!AddCustomerInf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7980B0-CACB-44FD-88B9-B2D654AF697C}"/>
            </a:ext>
          </a:extLst>
        </xdr:cNvPr>
        <xdr:cNvSpPr/>
      </xdr:nvSpPr>
      <xdr:spPr>
        <a:xfrm>
          <a:off x="6153150" y="114298"/>
          <a:ext cx="1460500" cy="676276"/>
        </a:xfrm>
        <a:prstGeom prst="round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Customer Info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BFFD04-E19A-404E-B1D9-29506B9ABE5A}" name="InventoryTable" displayName="InventoryTable" ref="A1:H51" totalsRowShown="0" dataDxfId="9">
  <autoFilter ref="A1:H51" xr:uid="{17BFFD04-E19A-404E-B1D9-29506B9ABE5A}"/>
  <tableColumns count="8">
    <tableColumn id="1" xr3:uid="{B23FCD6B-02E4-4624-A128-8A85DEDB349B}" name="Item Part #" dataDxfId="8"/>
    <tableColumn id="2" xr3:uid="{DC73B256-8D14-4DB7-B853-677765ED0AF1}" name="Item Description" dataDxfId="7"/>
    <tableColumn id="3" xr3:uid="{929E6700-B940-4C89-9930-467129F85FFD}" name="Qty In Stock" dataDxfId="6"/>
    <tableColumn id="4" xr3:uid="{DBCB704C-51B7-403C-88A1-D36D635719AB}" name="Qty On Order" dataDxfId="5"/>
    <tableColumn id="5" xr3:uid="{0BC3145D-81F7-4BA0-B8E4-7790E81B8FE0}" name="Purchase Price" dataDxfId="4"/>
    <tableColumn id="8" xr3:uid="{E9BDE4B3-4355-48DD-BFB5-B2FB2B3BF21A}" name="Markup" dataDxfId="3" dataCellStyle="Percent"/>
    <tableColumn id="6" xr3:uid="{3E798066-2FAB-4E40-BEDC-6FCDF64F960E}" name="Sell Price" dataDxfId="2">
      <calculatedColumnFormula>InventoryTable[[#This Row],[Purchase Price]]*(1+InventoryTable[[#This Row],[Markup]])</calculatedColumnFormula>
    </tableColumn>
    <tableColumn id="9" xr3:uid="{1105C808-053F-4324-AF7E-1D274522D22A}" name="Tax%" dataDxfId="1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35411-BA29-4955-A35D-6DE410387F0B}">
  <sheetPr codeName="Sheet3"/>
  <dimension ref="A1:R58"/>
  <sheetViews>
    <sheetView workbookViewId="0">
      <selection activeCell="A2" sqref="A2"/>
    </sheetView>
  </sheetViews>
  <sheetFormatPr defaultRowHeight="15" x14ac:dyDescent="0.25"/>
  <cols>
    <col min="1" max="1" width="12.85546875" style="3" bestFit="1" customWidth="1"/>
    <col min="2" max="2" width="23.28515625" bestFit="1" customWidth="1"/>
    <col min="3" max="3" width="16" style="1" bestFit="1" customWidth="1"/>
    <col min="4" max="4" width="17.28515625" style="1" bestFit="1" customWidth="1"/>
    <col min="5" max="5" width="16.28515625" style="32" bestFit="1" customWidth="1"/>
    <col min="6" max="6" width="12.42578125" style="46" bestFit="1" customWidth="1"/>
    <col min="7" max="7" width="16.28515625" style="32" customWidth="1"/>
    <col min="8" max="8" width="9.140625" style="33"/>
  </cols>
  <sheetData>
    <row r="1" spans="1:18" x14ac:dyDescent="0.25">
      <c r="A1" s="2" t="s">
        <v>15</v>
      </c>
      <c r="B1" t="s">
        <v>5</v>
      </c>
      <c r="C1" s="1" t="s">
        <v>16</v>
      </c>
      <c r="D1" s="1" t="s">
        <v>17</v>
      </c>
      <c r="E1" s="31" t="s">
        <v>18</v>
      </c>
      <c r="F1" s="46" t="s">
        <v>20</v>
      </c>
      <c r="G1" s="31" t="s">
        <v>19</v>
      </c>
      <c r="H1" s="33" t="s">
        <v>21</v>
      </c>
    </row>
    <row r="2" spans="1:18" ht="30" x14ac:dyDescent="0.25">
      <c r="A2" s="39" t="s">
        <v>121</v>
      </c>
      <c r="B2" s="39" t="s">
        <v>26</v>
      </c>
      <c r="C2" s="39">
        <v>59</v>
      </c>
      <c r="D2" s="39">
        <v>0</v>
      </c>
      <c r="E2" s="40">
        <v>22.23</v>
      </c>
      <c r="F2" s="44">
        <v>0.25</v>
      </c>
      <c r="G2" s="40">
        <f>InventoryTable[[#This Row],[Purchase Price]]*(1+InventoryTable[[#This Row],[Markup]])</f>
        <v>27.787500000000001</v>
      </c>
      <c r="H2" s="42">
        <v>5.5E-2</v>
      </c>
    </row>
    <row r="3" spans="1:18" ht="30" x14ac:dyDescent="0.25">
      <c r="A3" s="39" t="s">
        <v>27</v>
      </c>
      <c r="B3" s="39" t="s">
        <v>28</v>
      </c>
      <c r="C3" s="39">
        <v>88</v>
      </c>
      <c r="D3" s="39">
        <v>201</v>
      </c>
      <c r="E3" s="43">
        <v>3.1</v>
      </c>
      <c r="F3" s="44">
        <v>0.2</v>
      </c>
      <c r="G3" s="40">
        <f>InventoryTable[[#This Row],[Purchase Price]]*(1+InventoryTable[[#This Row],[Markup]])</f>
        <v>3.7199999999999998</v>
      </c>
      <c r="H3" s="45">
        <v>6.5000000000000002E-2</v>
      </c>
    </row>
    <row r="4" spans="1:18" ht="30" x14ac:dyDescent="0.25">
      <c r="A4" s="39" t="s">
        <v>29</v>
      </c>
      <c r="B4" s="39" t="s">
        <v>30</v>
      </c>
      <c r="C4" s="39">
        <v>243</v>
      </c>
      <c r="D4" s="39">
        <v>0</v>
      </c>
      <c r="E4" s="43">
        <v>50.62</v>
      </c>
      <c r="F4" s="44">
        <v>0.45</v>
      </c>
      <c r="G4" s="40">
        <f>InventoryTable[[#This Row],[Purchase Price]]*(1+InventoryTable[[#This Row],[Markup]])</f>
        <v>73.399000000000001</v>
      </c>
      <c r="H4" s="45">
        <v>6.5000000000000002E-2</v>
      </c>
    </row>
    <row r="5" spans="1:18" ht="30" x14ac:dyDescent="0.25">
      <c r="A5" s="39" t="s">
        <v>31</v>
      </c>
      <c r="B5" s="39" t="s">
        <v>32</v>
      </c>
      <c r="C5" s="39">
        <v>301</v>
      </c>
      <c r="D5" s="39">
        <v>0</v>
      </c>
      <c r="E5" s="43">
        <v>68.349999999999994</v>
      </c>
      <c r="F5" s="44">
        <v>0.25</v>
      </c>
      <c r="G5" s="40">
        <f>InventoryTable[[#This Row],[Purchase Price]]*(1+InventoryTable[[#This Row],[Markup]])</f>
        <v>85.4375</v>
      </c>
      <c r="H5" s="45">
        <v>7.4999999999999997E-2</v>
      </c>
    </row>
    <row r="6" spans="1:18" ht="30" x14ac:dyDescent="0.25">
      <c r="A6" s="39" t="s">
        <v>33</v>
      </c>
      <c r="B6" s="39" t="s">
        <v>34</v>
      </c>
      <c r="C6" s="39">
        <v>142</v>
      </c>
      <c r="D6" s="39">
        <v>0</v>
      </c>
      <c r="E6" s="43">
        <v>86.15</v>
      </c>
      <c r="F6" s="44">
        <v>0.4</v>
      </c>
      <c r="G6" s="40">
        <f>InventoryTable[[#This Row],[Purchase Price]]*(1+InventoryTable[[#This Row],[Markup]])</f>
        <v>120.61</v>
      </c>
      <c r="H6" s="45">
        <v>5.5E-2</v>
      </c>
      <c r="O6" s="39"/>
      <c r="P6" s="39"/>
    </row>
    <row r="7" spans="1:18" ht="30" x14ac:dyDescent="0.25">
      <c r="A7" s="39" t="s">
        <v>35</v>
      </c>
      <c r="B7" s="39" t="s">
        <v>36</v>
      </c>
      <c r="C7" s="39">
        <v>194</v>
      </c>
      <c r="D7" s="39">
        <v>0</v>
      </c>
      <c r="E7" s="43">
        <v>76.3</v>
      </c>
      <c r="F7" s="44">
        <v>0.35</v>
      </c>
      <c r="G7" s="40">
        <f>InventoryTable[[#This Row],[Purchase Price]]*(1+InventoryTable[[#This Row],[Markup]])</f>
        <v>103.00500000000001</v>
      </c>
      <c r="H7" s="45">
        <v>0</v>
      </c>
    </row>
    <row r="8" spans="1:18" ht="30" x14ac:dyDescent="0.25">
      <c r="A8" s="39" t="s">
        <v>37</v>
      </c>
      <c r="B8" s="39" t="s">
        <v>38</v>
      </c>
      <c r="C8" s="39">
        <v>233</v>
      </c>
      <c r="D8" s="39">
        <v>81</v>
      </c>
      <c r="E8" s="43">
        <v>7.32</v>
      </c>
      <c r="F8" s="44">
        <v>0.35</v>
      </c>
      <c r="G8" s="40">
        <f>InventoryTable[[#This Row],[Purchase Price]]*(1+InventoryTable[[#This Row],[Markup]])</f>
        <v>9.8820000000000014</v>
      </c>
      <c r="H8" s="45">
        <v>8.5000000000000006E-2</v>
      </c>
    </row>
    <row r="9" spans="1:18" ht="30" x14ac:dyDescent="0.25">
      <c r="A9" s="39" t="s">
        <v>39</v>
      </c>
      <c r="B9" s="39" t="s">
        <v>40</v>
      </c>
      <c r="C9" s="39">
        <v>295</v>
      </c>
      <c r="D9" s="39">
        <v>0</v>
      </c>
      <c r="E9" s="43">
        <v>4.3600000000000003</v>
      </c>
      <c r="F9" s="44">
        <v>0.3</v>
      </c>
      <c r="G9" s="40">
        <f>InventoryTable[[#This Row],[Purchase Price]]*(1+InventoryTable[[#This Row],[Markup]])</f>
        <v>5.668000000000001</v>
      </c>
      <c r="H9" s="45">
        <v>7.0000000000000007E-2</v>
      </c>
    </row>
    <row r="10" spans="1:18" ht="30" x14ac:dyDescent="0.25">
      <c r="A10" s="39" t="s">
        <v>41</v>
      </c>
      <c r="B10" s="39" t="s">
        <v>42</v>
      </c>
      <c r="C10" s="39">
        <v>437</v>
      </c>
      <c r="D10" s="39">
        <v>0</v>
      </c>
      <c r="E10" s="43">
        <v>34.36</v>
      </c>
      <c r="F10" s="44">
        <v>0.5</v>
      </c>
      <c r="G10" s="40">
        <f>InventoryTable[[#This Row],[Purchase Price]]*(1+InventoryTable[[#This Row],[Markup]])</f>
        <v>51.54</v>
      </c>
      <c r="H10" s="45">
        <v>7.2499999999999995E-2</v>
      </c>
    </row>
    <row r="11" spans="1:18" ht="30" x14ac:dyDescent="0.25">
      <c r="A11" s="39" t="s">
        <v>43</v>
      </c>
      <c r="B11" s="39" t="s">
        <v>44</v>
      </c>
      <c r="C11" s="39">
        <v>189</v>
      </c>
      <c r="D11" s="39">
        <v>0</v>
      </c>
      <c r="E11" s="43">
        <v>60.39</v>
      </c>
      <c r="F11" s="44">
        <v>0.2</v>
      </c>
      <c r="G11" s="40">
        <f>InventoryTable[[#This Row],[Purchase Price]]*(1+InventoryTable[[#This Row],[Markup]])</f>
        <v>72.468000000000004</v>
      </c>
      <c r="H11" s="45">
        <v>8.5000000000000006E-2</v>
      </c>
      <c r="J11" s="39"/>
      <c r="K11" s="39"/>
      <c r="L11" s="39"/>
      <c r="M11" s="39"/>
      <c r="N11" s="40"/>
      <c r="O11" s="41"/>
      <c r="P11" s="39"/>
      <c r="Q11" s="42"/>
    </row>
    <row r="12" spans="1:18" ht="30" x14ac:dyDescent="0.25">
      <c r="A12" s="39" t="s">
        <v>45</v>
      </c>
      <c r="B12" s="39" t="s">
        <v>46</v>
      </c>
      <c r="C12" s="39">
        <v>273</v>
      </c>
      <c r="D12" s="39">
        <v>0</v>
      </c>
      <c r="E12" s="43">
        <v>14.91</v>
      </c>
      <c r="F12" s="44">
        <v>0.45</v>
      </c>
      <c r="G12" s="40">
        <f>InventoryTable[[#This Row],[Purchase Price]]*(1+InventoryTable[[#This Row],[Markup]])</f>
        <v>21.619499999999999</v>
      </c>
      <c r="H12" s="45">
        <v>7.0000000000000007E-2</v>
      </c>
      <c r="J12" s="39"/>
      <c r="K12" s="39"/>
      <c r="L12" s="39"/>
      <c r="M12" s="39"/>
      <c r="N12" s="39"/>
      <c r="O12" s="40"/>
      <c r="P12" s="41"/>
      <c r="Q12" s="39"/>
      <c r="R12" s="42"/>
    </row>
    <row r="13" spans="1:18" ht="30" x14ac:dyDescent="0.25">
      <c r="A13" s="39" t="s">
        <v>47</v>
      </c>
      <c r="B13" s="39" t="s">
        <v>48</v>
      </c>
      <c r="C13" s="39">
        <v>350</v>
      </c>
      <c r="D13" s="39">
        <v>0</v>
      </c>
      <c r="E13" s="43">
        <v>20.8</v>
      </c>
      <c r="F13" s="44">
        <v>0.15</v>
      </c>
      <c r="G13" s="40">
        <f>InventoryTable[[#This Row],[Purchase Price]]*(1+InventoryTable[[#This Row],[Markup]])</f>
        <v>23.919999999999998</v>
      </c>
      <c r="H13" s="45">
        <v>7.2499999999999995E-2</v>
      </c>
      <c r="J13" s="39"/>
      <c r="K13" s="39"/>
      <c r="L13" s="39"/>
      <c r="M13" s="39"/>
      <c r="N13" s="39"/>
      <c r="O13" s="40"/>
      <c r="P13" s="41"/>
      <c r="Q13" s="39"/>
      <c r="R13" s="42"/>
    </row>
    <row r="14" spans="1:18" ht="30" x14ac:dyDescent="0.25">
      <c r="A14" s="39" t="s">
        <v>49</v>
      </c>
      <c r="B14" s="39" t="s">
        <v>50</v>
      </c>
      <c r="C14" s="39">
        <v>137</v>
      </c>
      <c r="D14" s="39">
        <v>0</v>
      </c>
      <c r="E14" s="43">
        <v>82.19</v>
      </c>
      <c r="F14" s="44">
        <v>0.4</v>
      </c>
      <c r="G14" s="40">
        <f>InventoryTable[[#This Row],[Purchase Price]]*(1+InventoryTable[[#This Row],[Markup]])</f>
        <v>115.06599999999999</v>
      </c>
      <c r="H14" s="45">
        <v>6.5000000000000002E-2</v>
      </c>
      <c r="J14" s="39"/>
      <c r="K14" s="39"/>
      <c r="L14" s="39"/>
      <c r="M14" s="39"/>
      <c r="N14" s="39"/>
      <c r="O14" s="40"/>
      <c r="P14" s="41"/>
      <c r="Q14" s="39"/>
      <c r="R14" s="42"/>
    </row>
    <row r="15" spans="1:18" ht="30" x14ac:dyDescent="0.25">
      <c r="A15" s="39" t="s">
        <v>51</v>
      </c>
      <c r="B15" s="39" t="s">
        <v>52</v>
      </c>
      <c r="C15" s="39">
        <v>202</v>
      </c>
      <c r="D15" s="39">
        <v>276</v>
      </c>
      <c r="E15" s="43">
        <v>13.07</v>
      </c>
      <c r="F15" s="44">
        <v>0.25</v>
      </c>
      <c r="G15" s="40">
        <f>InventoryTable[[#This Row],[Purchase Price]]*(1+InventoryTable[[#This Row],[Markup]])</f>
        <v>16.337499999999999</v>
      </c>
      <c r="H15" s="45">
        <v>6.5000000000000002E-2</v>
      </c>
      <c r="J15" s="39"/>
      <c r="K15" s="39"/>
      <c r="L15" s="39"/>
      <c r="M15" s="39"/>
      <c r="N15" s="39"/>
      <c r="O15" s="40"/>
      <c r="P15" s="41"/>
      <c r="Q15" s="39"/>
      <c r="R15" s="42"/>
    </row>
    <row r="16" spans="1:18" ht="30" x14ac:dyDescent="0.25">
      <c r="A16" s="39" t="s">
        <v>53</v>
      </c>
      <c r="B16" s="39" t="s">
        <v>54</v>
      </c>
      <c r="C16" s="39">
        <v>134</v>
      </c>
      <c r="D16" s="39">
        <v>241</v>
      </c>
      <c r="E16" s="43">
        <v>80.819999999999993</v>
      </c>
      <c r="F16" s="44">
        <v>0.45</v>
      </c>
      <c r="G16" s="40">
        <f>InventoryTable[[#This Row],[Purchase Price]]*(1+InventoryTable[[#This Row],[Markup]])</f>
        <v>117.18899999999999</v>
      </c>
      <c r="H16" s="45">
        <v>7.2499999999999995E-2</v>
      </c>
      <c r="J16" s="39"/>
      <c r="K16" s="39"/>
      <c r="L16" s="39"/>
      <c r="M16" s="39"/>
      <c r="N16" s="39"/>
      <c r="O16" s="40"/>
      <c r="P16" s="41"/>
      <c r="Q16" s="39"/>
      <c r="R16" s="42"/>
    </row>
    <row r="17" spans="1:18" ht="30" x14ac:dyDescent="0.25">
      <c r="A17" s="39" t="s">
        <v>55</v>
      </c>
      <c r="B17" s="39" t="s">
        <v>56</v>
      </c>
      <c r="C17" s="39">
        <v>70</v>
      </c>
      <c r="D17" s="39">
        <v>180</v>
      </c>
      <c r="E17" s="43">
        <v>8.41</v>
      </c>
      <c r="F17" s="44">
        <v>0.15</v>
      </c>
      <c r="G17" s="40">
        <f>InventoryTable[[#This Row],[Purchase Price]]*(1+InventoryTable[[#This Row],[Markup]])</f>
        <v>9.6715</v>
      </c>
      <c r="H17" s="45">
        <v>5.5E-2</v>
      </c>
      <c r="J17" s="39"/>
      <c r="K17" s="39"/>
      <c r="L17" s="39"/>
      <c r="M17" s="39"/>
      <c r="N17" s="39"/>
      <c r="O17" s="40"/>
      <c r="P17" s="41"/>
      <c r="Q17" s="39"/>
      <c r="R17" s="42"/>
    </row>
    <row r="18" spans="1:18" ht="30" x14ac:dyDescent="0.25">
      <c r="A18" s="39" t="s">
        <v>57</v>
      </c>
      <c r="B18" s="39" t="s">
        <v>58</v>
      </c>
      <c r="C18" s="39">
        <v>320</v>
      </c>
      <c r="D18" s="39">
        <v>90</v>
      </c>
      <c r="E18" s="43">
        <v>53.77</v>
      </c>
      <c r="F18" s="44">
        <v>0.45</v>
      </c>
      <c r="G18" s="40">
        <f>InventoryTable[[#This Row],[Purchase Price]]*(1+InventoryTable[[#This Row],[Markup]])</f>
        <v>77.966499999999996</v>
      </c>
      <c r="H18" s="45">
        <v>7.4999999999999997E-2</v>
      </c>
      <c r="J18" s="39"/>
      <c r="K18" s="39"/>
      <c r="L18" s="39"/>
      <c r="M18" s="39"/>
      <c r="N18" s="39"/>
      <c r="O18" s="40"/>
      <c r="P18" s="41"/>
      <c r="Q18" s="39"/>
      <c r="R18" s="42"/>
    </row>
    <row r="19" spans="1:18" x14ac:dyDescent="0.25">
      <c r="A19" s="39" t="s">
        <v>59</v>
      </c>
      <c r="B19" s="39" t="s">
        <v>60</v>
      </c>
      <c r="C19" s="39">
        <v>270</v>
      </c>
      <c r="D19" s="39">
        <v>0</v>
      </c>
      <c r="E19" s="43">
        <v>61.3</v>
      </c>
      <c r="F19" s="44">
        <v>0.2</v>
      </c>
      <c r="G19" s="40">
        <f>InventoryTable[[#This Row],[Purchase Price]]*(1+InventoryTable[[#This Row],[Markup]])</f>
        <v>73.559999999999988</v>
      </c>
      <c r="H19" s="45">
        <v>8.2500000000000004E-2</v>
      </c>
      <c r="J19" s="39"/>
      <c r="K19" s="39"/>
      <c r="L19" s="39"/>
      <c r="M19" s="39"/>
      <c r="N19" s="39"/>
      <c r="O19" s="40"/>
      <c r="P19" s="41"/>
      <c r="Q19" s="39"/>
      <c r="R19" s="42"/>
    </row>
    <row r="20" spans="1:18" ht="30" x14ac:dyDescent="0.25">
      <c r="A20" s="39" t="s">
        <v>61</v>
      </c>
      <c r="B20" s="39" t="s">
        <v>62</v>
      </c>
      <c r="C20" s="39">
        <v>393</v>
      </c>
      <c r="D20" s="39">
        <v>0</v>
      </c>
      <c r="E20" s="43">
        <v>10.26</v>
      </c>
      <c r="F20" s="44">
        <v>0.45</v>
      </c>
      <c r="G20" s="40">
        <f>InventoryTable[[#This Row],[Purchase Price]]*(1+InventoryTable[[#This Row],[Markup]])</f>
        <v>14.876999999999999</v>
      </c>
      <c r="H20" s="45">
        <v>0.06</v>
      </c>
      <c r="J20" s="39"/>
      <c r="K20" s="39"/>
      <c r="L20" s="39"/>
      <c r="M20" s="39"/>
      <c r="N20" s="39"/>
      <c r="O20" s="40"/>
      <c r="P20" s="41"/>
      <c r="Q20" s="39"/>
      <c r="R20" s="42"/>
    </row>
    <row r="21" spans="1:18" ht="30" x14ac:dyDescent="0.25">
      <c r="A21" s="39" t="s">
        <v>63</v>
      </c>
      <c r="B21" s="39" t="s">
        <v>64</v>
      </c>
      <c r="C21" s="39">
        <v>6</v>
      </c>
      <c r="D21" s="39">
        <v>0</v>
      </c>
      <c r="E21" s="43">
        <v>87.47</v>
      </c>
      <c r="F21" s="44">
        <v>0.25</v>
      </c>
      <c r="G21" s="40">
        <f>InventoryTable[[#This Row],[Purchase Price]]*(1+InventoryTable[[#This Row],[Markup]])</f>
        <v>109.33750000000001</v>
      </c>
      <c r="H21" s="45">
        <v>8.2500000000000004E-2</v>
      </c>
      <c r="J21" s="39"/>
      <c r="K21" s="39"/>
      <c r="L21" s="39"/>
      <c r="M21" s="39"/>
      <c r="N21" s="39"/>
      <c r="O21" s="40"/>
      <c r="P21" s="41"/>
      <c r="Q21" s="39"/>
      <c r="R21" s="42"/>
    </row>
    <row r="22" spans="1:18" ht="30" x14ac:dyDescent="0.25">
      <c r="A22" s="39" t="s">
        <v>65</v>
      </c>
      <c r="B22" s="39" t="s">
        <v>66</v>
      </c>
      <c r="C22" s="39">
        <v>445</v>
      </c>
      <c r="D22" s="39">
        <v>0</v>
      </c>
      <c r="E22" s="43">
        <v>75.78</v>
      </c>
      <c r="F22" s="44">
        <v>0.3</v>
      </c>
      <c r="G22" s="40">
        <f>InventoryTable[[#This Row],[Purchase Price]]*(1+InventoryTable[[#This Row],[Markup]])</f>
        <v>98.51400000000001</v>
      </c>
      <c r="H22" s="45">
        <v>0.06</v>
      </c>
      <c r="J22" s="39"/>
      <c r="K22" s="39"/>
      <c r="L22" s="39"/>
      <c r="M22" s="39"/>
      <c r="N22" s="39"/>
      <c r="O22" s="40"/>
      <c r="P22" s="41"/>
      <c r="Q22" s="39"/>
      <c r="R22" s="42"/>
    </row>
    <row r="23" spans="1:18" ht="30" x14ac:dyDescent="0.25">
      <c r="A23" s="39" t="s">
        <v>67</v>
      </c>
      <c r="B23" s="39" t="s">
        <v>68</v>
      </c>
      <c r="C23" s="39">
        <v>390</v>
      </c>
      <c r="D23" s="39">
        <v>0</v>
      </c>
      <c r="E23" s="43">
        <v>54</v>
      </c>
      <c r="F23" s="44">
        <v>0.5</v>
      </c>
      <c r="G23" s="40">
        <f>InventoryTable[[#This Row],[Purchase Price]]*(1+InventoryTable[[#This Row],[Markup]])</f>
        <v>81</v>
      </c>
      <c r="H23" s="45">
        <v>0</v>
      </c>
      <c r="J23" s="39"/>
      <c r="K23" s="39"/>
      <c r="L23" s="39"/>
      <c r="M23" s="39"/>
      <c r="N23" s="39"/>
      <c r="O23" s="40"/>
      <c r="P23" s="41"/>
      <c r="Q23" s="39"/>
      <c r="R23" s="42"/>
    </row>
    <row r="24" spans="1:18" ht="30" x14ac:dyDescent="0.25">
      <c r="A24" s="39" t="s">
        <v>69</v>
      </c>
      <c r="B24" s="39" t="s">
        <v>70</v>
      </c>
      <c r="C24" s="39">
        <v>475</v>
      </c>
      <c r="D24" s="39">
        <v>0</v>
      </c>
      <c r="E24" s="43">
        <v>21.74</v>
      </c>
      <c r="F24" s="44">
        <v>0.3</v>
      </c>
      <c r="G24" s="40">
        <f>InventoryTable[[#This Row],[Purchase Price]]*(1+InventoryTable[[#This Row],[Markup]])</f>
        <v>28.262</v>
      </c>
      <c r="H24" s="45">
        <v>8.5000000000000006E-2</v>
      </c>
      <c r="J24" s="39"/>
      <c r="K24" s="39"/>
      <c r="L24" s="39"/>
      <c r="M24" s="39"/>
      <c r="N24" s="39"/>
      <c r="O24" s="40"/>
      <c r="P24" s="41"/>
      <c r="Q24" s="39"/>
      <c r="R24" s="42"/>
    </row>
    <row r="25" spans="1:18" ht="30" x14ac:dyDescent="0.25">
      <c r="A25" s="39" t="s">
        <v>71</v>
      </c>
      <c r="B25" s="39" t="s">
        <v>72</v>
      </c>
      <c r="C25" s="39">
        <v>43</v>
      </c>
      <c r="D25" s="39">
        <v>237</v>
      </c>
      <c r="E25" s="43">
        <v>73.48</v>
      </c>
      <c r="F25" s="44">
        <v>0.25</v>
      </c>
      <c r="G25" s="40">
        <f>InventoryTable[[#This Row],[Purchase Price]]*(1+InventoryTable[[#This Row],[Markup]])</f>
        <v>91.850000000000009</v>
      </c>
      <c r="H25" s="45">
        <v>0.06</v>
      </c>
      <c r="J25" s="39"/>
      <c r="K25" s="39"/>
      <c r="L25" s="39"/>
      <c r="M25" s="39"/>
      <c r="N25" s="39"/>
      <c r="O25" s="40"/>
      <c r="P25" s="41"/>
      <c r="Q25" s="39"/>
      <c r="R25" s="42"/>
    </row>
    <row r="26" spans="1:18" ht="30" x14ac:dyDescent="0.25">
      <c r="A26" s="39" t="s">
        <v>73</v>
      </c>
      <c r="B26" s="39" t="s">
        <v>74</v>
      </c>
      <c r="C26" s="39">
        <v>484</v>
      </c>
      <c r="D26" s="39">
        <v>0</v>
      </c>
      <c r="E26" s="43">
        <v>24.04</v>
      </c>
      <c r="F26" s="44">
        <v>0.45</v>
      </c>
      <c r="G26" s="40">
        <f>InventoryTable[[#This Row],[Purchase Price]]*(1+InventoryTable[[#This Row],[Markup]])</f>
        <v>34.857999999999997</v>
      </c>
      <c r="H26" s="45">
        <v>6.5000000000000002E-2</v>
      </c>
      <c r="J26" s="39"/>
      <c r="K26" s="39"/>
      <c r="L26" s="39"/>
      <c r="M26" s="39"/>
      <c r="N26" s="39"/>
      <c r="O26" s="40"/>
      <c r="P26" s="41"/>
      <c r="Q26" s="39"/>
      <c r="R26" s="42"/>
    </row>
    <row r="27" spans="1:18" ht="30" x14ac:dyDescent="0.25">
      <c r="A27" s="39" t="s">
        <v>75</v>
      </c>
      <c r="B27" s="39" t="s">
        <v>76</v>
      </c>
      <c r="C27" s="39">
        <v>386</v>
      </c>
      <c r="D27" s="39">
        <v>0</v>
      </c>
      <c r="E27" s="43">
        <v>64.23</v>
      </c>
      <c r="F27" s="44">
        <v>0.45</v>
      </c>
      <c r="G27" s="40">
        <f>InventoryTable[[#This Row],[Purchase Price]]*(1+InventoryTable[[#This Row],[Markup]])</f>
        <v>93.133499999999998</v>
      </c>
      <c r="H27" s="45">
        <v>7.2499999999999995E-2</v>
      </c>
      <c r="J27" s="39"/>
      <c r="K27" s="39"/>
      <c r="L27" s="39"/>
      <c r="M27" s="39"/>
      <c r="N27" s="39"/>
      <c r="O27" s="40"/>
      <c r="P27" s="41"/>
      <c r="Q27" s="39"/>
      <c r="R27" s="42"/>
    </row>
    <row r="28" spans="1:18" ht="30" x14ac:dyDescent="0.25">
      <c r="A28" s="39" t="s">
        <v>77</v>
      </c>
      <c r="B28" s="39" t="s">
        <v>78</v>
      </c>
      <c r="C28" s="39">
        <v>456</v>
      </c>
      <c r="D28" s="39">
        <v>182</v>
      </c>
      <c r="E28" s="43">
        <v>11.11</v>
      </c>
      <c r="F28" s="44">
        <v>0.3</v>
      </c>
      <c r="G28" s="40">
        <f>InventoryTable[[#This Row],[Purchase Price]]*(1+InventoryTable[[#This Row],[Markup]])</f>
        <v>14.443</v>
      </c>
      <c r="H28" s="45">
        <v>5.5E-2</v>
      </c>
      <c r="J28" s="39"/>
      <c r="K28" s="39"/>
      <c r="L28" s="39"/>
      <c r="M28" s="39"/>
      <c r="N28" s="39"/>
      <c r="O28" s="40"/>
      <c r="P28" s="41"/>
      <c r="Q28" s="39"/>
      <c r="R28" s="42"/>
    </row>
    <row r="29" spans="1:18" ht="30" x14ac:dyDescent="0.25">
      <c r="A29" s="39" t="s">
        <v>79</v>
      </c>
      <c r="B29" s="39" t="s">
        <v>80</v>
      </c>
      <c r="C29" s="39">
        <v>10</v>
      </c>
      <c r="D29" s="39">
        <v>0</v>
      </c>
      <c r="E29" s="43">
        <v>53.06</v>
      </c>
      <c r="F29" s="44">
        <v>0.15</v>
      </c>
      <c r="G29" s="40">
        <f>InventoryTable[[#This Row],[Purchase Price]]*(1+InventoryTable[[#This Row],[Markup]])</f>
        <v>61.018999999999998</v>
      </c>
      <c r="H29" s="45">
        <v>5.5E-2</v>
      </c>
      <c r="J29" s="39"/>
      <c r="K29" s="39"/>
      <c r="L29" s="39"/>
      <c r="M29" s="39"/>
      <c r="N29" s="39"/>
      <c r="O29" s="40"/>
      <c r="P29" s="41"/>
      <c r="Q29" s="39"/>
      <c r="R29" s="42"/>
    </row>
    <row r="30" spans="1:18" ht="30" x14ac:dyDescent="0.25">
      <c r="A30" s="39" t="s">
        <v>81</v>
      </c>
      <c r="B30" s="39" t="s">
        <v>82</v>
      </c>
      <c r="C30" s="39">
        <v>117</v>
      </c>
      <c r="D30" s="39">
        <v>0</v>
      </c>
      <c r="E30" s="43">
        <v>77.39</v>
      </c>
      <c r="F30" s="44">
        <v>0.2</v>
      </c>
      <c r="G30" s="40">
        <f>InventoryTable[[#This Row],[Purchase Price]]*(1+InventoryTable[[#This Row],[Markup]])</f>
        <v>92.867999999999995</v>
      </c>
      <c r="H30" s="45">
        <v>8.2500000000000004E-2</v>
      </c>
      <c r="J30" s="39"/>
      <c r="K30" s="39"/>
      <c r="L30" s="39"/>
      <c r="M30" s="39"/>
      <c r="N30" s="39"/>
      <c r="O30" s="40"/>
      <c r="P30" s="41"/>
      <c r="Q30" s="39"/>
      <c r="R30" s="42"/>
    </row>
    <row r="31" spans="1:18" ht="30" x14ac:dyDescent="0.25">
      <c r="A31" s="39" t="s">
        <v>83</v>
      </c>
      <c r="B31" s="39" t="s">
        <v>84</v>
      </c>
      <c r="C31" s="39">
        <v>142</v>
      </c>
      <c r="D31" s="39">
        <v>221</v>
      </c>
      <c r="E31" s="43">
        <v>19.48</v>
      </c>
      <c r="F31" s="44">
        <v>0.25</v>
      </c>
      <c r="G31" s="40">
        <f>InventoryTable[[#This Row],[Purchase Price]]*(1+InventoryTable[[#This Row],[Markup]])</f>
        <v>24.35</v>
      </c>
      <c r="H31" s="45">
        <v>8.5000000000000006E-2</v>
      </c>
      <c r="J31" s="39"/>
      <c r="K31" s="39"/>
      <c r="L31" s="39"/>
      <c r="M31" s="39"/>
      <c r="N31" s="39"/>
      <c r="O31" s="40"/>
      <c r="P31" s="41"/>
      <c r="Q31" s="39"/>
      <c r="R31" s="42"/>
    </row>
    <row r="32" spans="1:18" ht="30" x14ac:dyDescent="0.25">
      <c r="A32" s="39" t="s">
        <v>85</v>
      </c>
      <c r="B32" s="39" t="s">
        <v>86</v>
      </c>
      <c r="C32" s="39">
        <v>124</v>
      </c>
      <c r="D32" s="39">
        <v>250</v>
      </c>
      <c r="E32" s="43">
        <v>72.709999999999994</v>
      </c>
      <c r="F32" s="44">
        <v>0.3</v>
      </c>
      <c r="G32" s="40">
        <f>InventoryTable[[#This Row],[Purchase Price]]*(1+InventoryTable[[#This Row],[Markup]])</f>
        <v>94.522999999999996</v>
      </c>
      <c r="H32" s="45">
        <v>5.5E-2</v>
      </c>
      <c r="J32" s="39"/>
      <c r="K32" s="39"/>
      <c r="L32" s="39"/>
      <c r="M32" s="39"/>
      <c r="N32" s="39"/>
      <c r="O32" s="40"/>
      <c r="P32" s="41"/>
      <c r="Q32" s="39"/>
      <c r="R32" s="42"/>
    </row>
    <row r="33" spans="1:18" ht="30" x14ac:dyDescent="0.25">
      <c r="A33" s="39" t="s">
        <v>87</v>
      </c>
      <c r="B33" s="39" t="s">
        <v>88</v>
      </c>
      <c r="C33" s="39">
        <v>337</v>
      </c>
      <c r="D33" s="39">
        <v>0</v>
      </c>
      <c r="E33" s="43">
        <v>38.26</v>
      </c>
      <c r="F33" s="44">
        <v>0.5</v>
      </c>
      <c r="G33" s="40">
        <f>InventoryTable[[#This Row],[Purchase Price]]*(1+InventoryTable[[#This Row],[Markup]])</f>
        <v>57.39</v>
      </c>
      <c r="H33" s="45">
        <v>0</v>
      </c>
      <c r="J33" s="39"/>
      <c r="K33" s="39"/>
      <c r="L33" s="39"/>
      <c r="M33" s="39"/>
      <c r="N33" s="39"/>
      <c r="O33" s="40"/>
      <c r="P33" s="41"/>
      <c r="Q33" s="39"/>
      <c r="R33" s="42"/>
    </row>
    <row r="34" spans="1:18" ht="30" x14ac:dyDescent="0.25">
      <c r="A34" s="39" t="s">
        <v>89</v>
      </c>
      <c r="B34" s="39" t="s">
        <v>90</v>
      </c>
      <c r="C34" s="39">
        <v>31</v>
      </c>
      <c r="D34" s="39">
        <v>0</v>
      </c>
      <c r="E34" s="43">
        <v>72.099999999999994</v>
      </c>
      <c r="F34" s="44">
        <v>0.2</v>
      </c>
      <c r="G34" s="40">
        <f>InventoryTable[[#This Row],[Purchase Price]]*(1+InventoryTable[[#This Row],[Markup]])</f>
        <v>86.52</v>
      </c>
      <c r="H34" s="45">
        <v>6.5000000000000002E-2</v>
      </c>
      <c r="J34" s="39"/>
      <c r="K34" s="39"/>
      <c r="L34" s="39"/>
      <c r="M34" s="39"/>
      <c r="N34" s="39"/>
      <c r="O34" s="40"/>
      <c r="P34" s="41"/>
      <c r="Q34" s="39"/>
      <c r="R34" s="42"/>
    </row>
    <row r="35" spans="1:18" ht="30" x14ac:dyDescent="0.25">
      <c r="A35" s="39" t="s">
        <v>91</v>
      </c>
      <c r="B35" s="39" t="s">
        <v>92</v>
      </c>
      <c r="C35" s="39">
        <v>81</v>
      </c>
      <c r="D35" s="39">
        <v>187</v>
      </c>
      <c r="E35" s="43">
        <v>12.83</v>
      </c>
      <c r="F35" s="44">
        <v>0.25</v>
      </c>
      <c r="G35" s="40">
        <f>InventoryTable[[#This Row],[Purchase Price]]*(1+InventoryTable[[#This Row],[Markup]])</f>
        <v>16.037500000000001</v>
      </c>
      <c r="H35" s="45">
        <v>7.0000000000000007E-2</v>
      </c>
      <c r="J35" s="39"/>
      <c r="K35" s="39"/>
      <c r="L35" s="39"/>
      <c r="M35" s="39"/>
      <c r="N35" s="39"/>
      <c r="O35" s="40"/>
      <c r="P35" s="41"/>
      <c r="Q35" s="39"/>
      <c r="R35" s="42"/>
    </row>
    <row r="36" spans="1:18" ht="30" x14ac:dyDescent="0.25">
      <c r="A36" s="39" t="s">
        <v>93</v>
      </c>
      <c r="B36" s="39" t="s">
        <v>94</v>
      </c>
      <c r="C36" s="39">
        <v>127</v>
      </c>
      <c r="D36" s="39">
        <v>0</v>
      </c>
      <c r="E36" s="43">
        <v>40.020000000000003</v>
      </c>
      <c r="F36" s="44">
        <v>0.2</v>
      </c>
      <c r="G36" s="40">
        <f>InventoryTable[[#This Row],[Purchase Price]]*(1+InventoryTable[[#This Row],[Markup]])</f>
        <v>48.024000000000001</v>
      </c>
      <c r="H36" s="45">
        <v>0</v>
      </c>
      <c r="J36" s="39"/>
      <c r="K36" s="39"/>
      <c r="L36" s="39"/>
      <c r="M36" s="39"/>
      <c r="N36" s="39"/>
      <c r="O36" s="40"/>
      <c r="P36" s="41"/>
      <c r="Q36" s="39"/>
      <c r="R36" s="42"/>
    </row>
    <row r="37" spans="1:18" ht="30" x14ac:dyDescent="0.25">
      <c r="A37" s="39" t="s">
        <v>95</v>
      </c>
      <c r="B37" s="39" t="s">
        <v>96</v>
      </c>
      <c r="C37" s="39">
        <v>428</v>
      </c>
      <c r="D37" s="39">
        <v>0</v>
      </c>
      <c r="E37" s="43">
        <v>83.38</v>
      </c>
      <c r="F37" s="44">
        <v>0.3</v>
      </c>
      <c r="G37" s="40">
        <f>InventoryTable[[#This Row],[Purchase Price]]*(1+InventoryTable[[#This Row],[Markup]])</f>
        <v>108.39399999999999</v>
      </c>
      <c r="H37" s="45">
        <v>0.06</v>
      </c>
      <c r="J37" s="39"/>
      <c r="K37" s="39"/>
      <c r="L37" s="39"/>
      <c r="M37" s="39"/>
      <c r="N37" s="39"/>
      <c r="O37" s="40"/>
      <c r="P37" s="41"/>
      <c r="Q37" s="39"/>
      <c r="R37" s="42"/>
    </row>
    <row r="38" spans="1:18" ht="30" x14ac:dyDescent="0.25">
      <c r="A38" s="39" t="s">
        <v>97</v>
      </c>
      <c r="B38" s="39" t="s">
        <v>98</v>
      </c>
      <c r="C38" s="39">
        <v>248</v>
      </c>
      <c r="D38" s="39">
        <v>0</v>
      </c>
      <c r="E38" s="43">
        <v>77.84</v>
      </c>
      <c r="F38" s="44">
        <v>0.15</v>
      </c>
      <c r="G38" s="40">
        <f>InventoryTable[[#This Row],[Purchase Price]]*(1+InventoryTable[[#This Row],[Markup]])</f>
        <v>89.515999999999991</v>
      </c>
      <c r="H38" s="45">
        <v>0.06</v>
      </c>
      <c r="J38" s="39"/>
      <c r="K38" s="39"/>
      <c r="L38" s="39"/>
      <c r="M38" s="39"/>
      <c r="N38" s="39"/>
      <c r="O38" s="40"/>
      <c r="P38" s="41"/>
      <c r="Q38" s="39"/>
      <c r="R38" s="42"/>
    </row>
    <row r="39" spans="1:18" ht="30" x14ac:dyDescent="0.25">
      <c r="A39" s="39" t="s">
        <v>99</v>
      </c>
      <c r="B39" s="39" t="s">
        <v>100</v>
      </c>
      <c r="C39" s="39">
        <v>25</v>
      </c>
      <c r="D39" s="39">
        <v>0</v>
      </c>
      <c r="E39" s="43">
        <v>83.4</v>
      </c>
      <c r="F39" s="44">
        <v>0.5</v>
      </c>
      <c r="G39" s="40">
        <f>InventoryTable[[#This Row],[Purchase Price]]*(1+InventoryTable[[#This Row],[Markup]])</f>
        <v>125.10000000000001</v>
      </c>
      <c r="H39" s="45">
        <v>7.0000000000000007E-2</v>
      </c>
      <c r="J39" s="39"/>
      <c r="K39" s="39"/>
      <c r="L39" s="39"/>
      <c r="M39" s="39"/>
      <c r="N39" s="39"/>
      <c r="O39" s="40"/>
      <c r="P39" s="41"/>
      <c r="Q39" s="39"/>
      <c r="R39" s="42"/>
    </row>
    <row r="40" spans="1:18" ht="30" x14ac:dyDescent="0.25">
      <c r="A40" s="39" t="s">
        <v>101</v>
      </c>
      <c r="B40" s="39" t="s">
        <v>102</v>
      </c>
      <c r="C40" s="39">
        <v>356</v>
      </c>
      <c r="D40" s="39">
        <v>295</v>
      </c>
      <c r="E40" s="43">
        <v>14.14</v>
      </c>
      <c r="F40" s="44">
        <v>0.35</v>
      </c>
      <c r="G40" s="40">
        <f>InventoryTable[[#This Row],[Purchase Price]]*(1+InventoryTable[[#This Row],[Markup]])</f>
        <v>19.089000000000002</v>
      </c>
      <c r="H40" s="45">
        <v>6.5000000000000002E-2</v>
      </c>
      <c r="J40" s="39"/>
      <c r="K40" s="39"/>
      <c r="L40" s="39"/>
      <c r="M40" s="39"/>
      <c r="N40" s="39"/>
      <c r="O40" s="40"/>
      <c r="P40" s="41"/>
      <c r="Q40" s="39"/>
      <c r="R40" s="42"/>
    </row>
    <row r="41" spans="1:18" ht="30" x14ac:dyDescent="0.25">
      <c r="A41" s="39" t="s">
        <v>103</v>
      </c>
      <c r="B41" s="39" t="s">
        <v>104</v>
      </c>
      <c r="C41" s="39">
        <v>296</v>
      </c>
      <c r="D41" s="39">
        <v>0</v>
      </c>
      <c r="E41" s="43">
        <v>67.37</v>
      </c>
      <c r="F41" s="44">
        <v>0.15</v>
      </c>
      <c r="G41" s="40">
        <f>InventoryTable[[#This Row],[Purchase Price]]*(1+InventoryTable[[#This Row],[Markup]])</f>
        <v>77.475499999999997</v>
      </c>
      <c r="H41" s="45">
        <v>0</v>
      </c>
      <c r="J41" s="39"/>
      <c r="K41" s="39"/>
      <c r="L41" s="39"/>
      <c r="M41" s="39"/>
      <c r="N41" s="39"/>
      <c r="O41" s="40"/>
      <c r="P41" s="41"/>
      <c r="Q41" s="39"/>
      <c r="R41" s="42"/>
    </row>
    <row r="42" spans="1:18" ht="30" x14ac:dyDescent="0.25">
      <c r="A42" s="39" t="s">
        <v>105</v>
      </c>
      <c r="B42" s="39" t="s">
        <v>106</v>
      </c>
      <c r="C42" s="39">
        <v>257</v>
      </c>
      <c r="D42" s="39">
        <v>0</v>
      </c>
      <c r="E42" s="43">
        <v>5.35</v>
      </c>
      <c r="F42" s="44">
        <v>0.2</v>
      </c>
      <c r="G42" s="40">
        <f>InventoryTable[[#This Row],[Purchase Price]]*(1+InventoryTable[[#This Row],[Markup]])</f>
        <v>6.419999999999999</v>
      </c>
      <c r="H42" s="45">
        <v>0.06</v>
      </c>
      <c r="J42" s="39"/>
      <c r="K42" s="39"/>
      <c r="L42" s="39"/>
      <c r="M42" s="39"/>
      <c r="N42" s="39"/>
      <c r="O42" s="40"/>
      <c r="P42" s="41"/>
      <c r="Q42" s="39"/>
      <c r="R42" s="42"/>
    </row>
    <row r="43" spans="1:18" ht="30" x14ac:dyDescent="0.25">
      <c r="A43" s="39" t="s">
        <v>107</v>
      </c>
      <c r="B43" s="39" t="s">
        <v>108</v>
      </c>
      <c r="C43" s="39">
        <v>304</v>
      </c>
      <c r="D43" s="39">
        <v>0</v>
      </c>
      <c r="E43" s="43">
        <v>36.479999999999997</v>
      </c>
      <c r="F43" s="44">
        <v>0.3</v>
      </c>
      <c r="G43" s="40">
        <f>InventoryTable[[#This Row],[Purchase Price]]*(1+InventoryTable[[#This Row],[Markup]])</f>
        <v>47.423999999999999</v>
      </c>
      <c r="H43" s="45">
        <v>8.5000000000000006E-2</v>
      </c>
      <c r="J43" s="39"/>
      <c r="K43" s="39"/>
      <c r="L43" s="39"/>
      <c r="M43" s="39"/>
      <c r="N43" s="39"/>
      <c r="O43" s="40"/>
      <c r="P43" s="41"/>
      <c r="Q43" s="39"/>
      <c r="R43" s="42"/>
    </row>
    <row r="44" spans="1:18" ht="30" x14ac:dyDescent="0.25">
      <c r="A44" s="39" t="s">
        <v>109</v>
      </c>
      <c r="B44" s="39" t="s">
        <v>110</v>
      </c>
      <c r="C44" s="39">
        <v>317</v>
      </c>
      <c r="D44" s="39">
        <v>70</v>
      </c>
      <c r="E44" s="43">
        <v>59.24</v>
      </c>
      <c r="F44" s="44">
        <v>0.4</v>
      </c>
      <c r="G44" s="40">
        <f>InventoryTable[[#This Row],[Purchase Price]]*(1+InventoryTable[[#This Row],[Markup]])</f>
        <v>82.935999999999993</v>
      </c>
      <c r="H44" s="45">
        <v>7.0000000000000007E-2</v>
      </c>
      <c r="J44" s="39"/>
      <c r="K44" s="39"/>
      <c r="L44" s="39"/>
      <c r="M44" s="39"/>
      <c r="N44" s="39"/>
      <c r="O44" s="40"/>
      <c r="P44" s="41"/>
      <c r="Q44" s="39"/>
      <c r="R44" s="42"/>
    </row>
    <row r="45" spans="1:18" ht="30" x14ac:dyDescent="0.25">
      <c r="A45" s="39" t="s">
        <v>111</v>
      </c>
      <c r="B45" s="39" t="s">
        <v>112</v>
      </c>
      <c r="C45" s="39">
        <v>342</v>
      </c>
      <c r="D45" s="39">
        <v>0</v>
      </c>
      <c r="E45" s="43">
        <v>21.67</v>
      </c>
      <c r="F45" s="44">
        <v>0.45</v>
      </c>
      <c r="G45" s="40">
        <f>InventoryTable[[#This Row],[Purchase Price]]*(1+InventoryTable[[#This Row],[Markup]])</f>
        <v>31.421500000000002</v>
      </c>
      <c r="H45" s="45">
        <v>0.06</v>
      </c>
      <c r="J45" s="39"/>
      <c r="K45" s="39"/>
      <c r="L45" s="39"/>
      <c r="M45" s="39"/>
      <c r="N45" s="39"/>
      <c r="O45" s="40"/>
      <c r="P45" s="41"/>
      <c r="Q45" s="39"/>
      <c r="R45" s="42"/>
    </row>
    <row r="46" spans="1:18" ht="30" x14ac:dyDescent="0.25">
      <c r="A46" s="39" t="s">
        <v>113</v>
      </c>
      <c r="B46" s="39" t="s">
        <v>114</v>
      </c>
      <c r="C46" s="39">
        <v>234</v>
      </c>
      <c r="D46" s="39">
        <v>0</v>
      </c>
      <c r="E46" s="43">
        <v>1.0900000000000001</v>
      </c>
      <c r="F46" s="44">
        <v>0.2</v>
      </c>
      <c r="G46" s="40">
        <f>InventoryTable[[#This Row],[Purchase Price]]*(1+InventoryTable[[#This Row],[Markup]])</f>
        <v>1.3080000000000001</v>
      </c>
      <c r="H46" s="45">
        <v>5.5E-2</v>
      </c>
      <c r="J46" s="39"/>
      <c r="K46" s="39"/>
      <c r="L46" s="39"/>
      <c r="M46" s="39"/>
      <c r="N46" s="39"/>
      <c r="O46" s="40"/>
      <c r="P46" s="41"/>
      <c r="Q46" s="39"/>
      <c r="R46" s="42"/>
    </row>
    <row r="47" spans="1:18" ht="30" x14ac:dyDescent="0.25">
      <c r="A47" s="39" t="s">
        <v>115</v>
      </c>
      <c r="B47" s="39" t="s">
        <v>116</v>
      </c>
      <c r="C47" s="39">
        <v>109</v>
      </c>
      <c r="D47" s="39">
        <v>0</v>
      </c>
      <c r="E47" s="43">
        <v>12.14</v>
      </c>
      <c r="F47" s="44">
        <v>0.4</v>
      </c>
      <c r="G47" s="40">
        <f>InventoryTable[[#This Row],[Purchase Price]]*(1+InventoryTable[[#This Row],[Markup]])</f>
        <v>16.995999999999999</v>
      </c>
      <c r="H47" s="45">
        <v>5.5E-2</v>
      </c>
      <c r="J47" s="39"/>
      <c r="K47" s="39"/>
      <c r="L47" s="39"/>
      <c r="M47" s="39"/>
      <c r="N47" s="39"/>
      <c r="O47" s="40"/>
      <c r="P47" s="41"/>
      <c r="Q47" s="39"/>
      <c r="R47" s="42"/>
    </row>
    <row r="48" spans="1:18" ht="30" x14ac:dyDescent="0.25">
      <c r="A48" s="39" t="s">
        <v>117</v>
      </c>
      <c r="B48" s="39" t="s">
        <v>118</v>
      </c>
      <c r="C48" s="39">
        <v>189</v>
      </c>
      <c r="D48" s="39">
        <v>0</v>
      </c>
      <c r="E48" s="43">
        <v>39.57</v>
      </c>
      <c r="F48" s="44">
        <v>0.35</v>
      </c>
      <c r="G48" s="40">
        <f>InventoryTable[[#This Row],[Purchase Price]]*(1+InventoryTable[[#This Row],[Markup]])</f>
        <v>53.419500000000006</v>
      </c>
      <c r="H48" s="45">
        <v>8.5000000000000006E-2</v>
      </c>
      <c r="J48" s="39"/>
      <c r="K48" s="39"/>
      <c r="L48" s="39"/>
      <c r="M48" s="39"/>
      <c r="N48" s="39"/>
      <c r="O48" s="40"/>
      <c r="P48" s="41"/>
      <c r="Q48" s="39"/>
      <c r="R48" s="42"/>
    </row>
    <row r="49" spans="1:18" ht="30" x14ac:dyDescent="0.25">
      <c r="A49" s="39" t="s">
        <v>119</v>
      </c>
      <c r="B49" s="39" t="s">
        <v>120</v>
      </c>
      <c r="C49" s="39">
        <v>85</v>
      </c>
      <c r="D49" s="39">
        <v>0</v>
      </c>
      <c r="E49" s="43">
        <v>83.87</v>
      </c>
      <c r="F49" s="44">
        <v>0.2</v>
      </c>
      <c r="G49" s="40">
        <f>InventoryTable[[#This Row],[Purchase Price]]*(1+InventoryTable[[#This Row],[Markup]])</f>
        <v>100.64400000000001</v>
      </c>
      <c r="H49" s="45">
        <v>0.06</v>
      </c>
      <c r="J49" s="39"/>
      <c r="K49" s="39"/>
      <c r="L49" s="39"/>
      <c r="M49" s="39"/>
      <c r="N49" s="39"/>
      <c r="O49" s="40"/>
      <c r="P49" s="41"/>
      <c r="Q49" s="39"/>
      <c r="R49" s="42"/>
    </row>
    <row r="50" spans="1:18" ht="30" x14ac:dyDescent="0.25">
      <c r="A50" s="39" t="s">
        <v>122</v>
      </c>
      <c r="B50" s="39" t="s">
        <v>124</v>
      </c>
      <c r="C50" s="39">
        <v>1</v>
      </c>
      <c r="D50" s="39">
        <v>0</v>
      </c>
      <c r="E50" s="43">
        <v>-10</v>
      </c>
      <c r="F50" s="44">
        <v>0</v>
      </c>
      <c r="G50" s="40">
        <f>InventoryTable[[#This Row],[Purchase Price]]*(1+InventoryTable[[#This Row],[Markup]])</f>
        <v>-10</v>
      </c>
      <c r="H50" s="45">
        <v>0</v>
      </c>
      <c r="J50" s="39"/>
      <c r="K50" s="39"/>
      <c r="L50" s="39"/>
      <c r="M50" s="39"/>
      <c r="N50" s="39"/>
      <c r="O50" s="40"/>
      <c r="P50" s="41"/>
      <c r="Q50" s="39"/>
      <c r="R50" s="42"/>
    </row>
    <row r="51" spans="1:18" x14ac:dyDescent="0.25">
      <c r="A51" s="39" t="s">
        <v>123</v>
      </c>
      <c r="B51" s="39" t="s">
        <v>125</v>
      </c>
      <c r="C51" s="39">
        <v>5</v>
      </c>
      <c r="D51" s="39">
        <v>0</v>
      </c>
      <c r="E51" s="43">
        <v>-15</v>
      </c>
      <c r="F51" s="44">
        <v>0</v>
      </c>
      <c r="G51" s="40">
        <f>InventoryTable[[#This Row],[Purchase Price]]*(1+InventoryTable[[#This Row],[Markup]])</f>
        <v>-15</v>
      </c>
      <c r="H51" s="45">
        <v>0</v>
      </c>
      <c r="J51" s="39"/>
      <c r="K51" s="39"/>
      <c r="L51" s="39"/>
      <c r="M51" s="39"/>
      <c r="N51" s="39"/>
      <c r="O51" s="40"/>
      <c r="P51" s="41"/>
      <c r="Q51" s="39"/>
      <c r="R51" s="42"/>
    </row>
    <row r="52" spans="1:18" x14ac:dyDescent="0.25">
      <c r="J52" s="39"/>
      <c r="K52" s="39"/>
      <c r="L52" s="39"/>
      <c r="M52" s="39"/>
      <c r="N52" s="39"/>
      <c r="O52" s="40"/>
      <c r="P52" s="41"/>
      <c r="Q52" s="39"/>
      <c r="R52" s="42"/>
    </row>
    <row r="53" spans="1:18" x14ac:dyDescent="0.25">
      <c r="J53" s="39"/>
      <c r="K53" s="39"/>
      <c r="L53" s="39"/>
      <c r="M53" s="39"/>
      <c r="N53" s="39"/>
      <c r="O53" s="40"/>
      <c r="P53" s="41"/>
      <c r="Q53" s="39"/>
      <c r="R53" s="42"/>
    </row>
    <row r="54" spans="1:18" x14ac:dyDescent="0.25">
      <c r="J54" s="39"/>
      <c r="K54" s="39"/>
      <c r="L54" s="39"/>
      <c r="M54" s="39"/>
      <c r="N54" s="39"/>
      <c r="O54" s="40"/>
      <c r="P54" s="41"/>
      <c r="Q54" s="39"/>
      <c r="R54" s="42"/>
    </row>
    <row r="55" spans="1:18" x14ac:dyDescent="0.25">
      <c r="J55" s="39"/>
      <c r="K55" s="39"/>
      <c r="L55" s="39"/>
      <c r="M55" s="39"/>
      <c r="N55" s="39"/>
      <c r="O55" s="40"/>
      <c r="P55" s="41"/>
      <c r="Q55" s="39"/>
      <c r="R55" s="42"/>
    </row>
    <row r="56" spans="1:18" x14ac:dyDescent="0.25">
      <c r="J56" s="39"/>
      <c r="K56" s="39"/>
      <c r="L56" s="39"/>
      <c r="M56" s="39"/>
      <c r="N56" s="39"/>
      <c r="O56" s="40"/>
      <c r="P56" s="41"/>
      <c r="Q56" s="39"/>
      <c r="R56" s="42"/>
    </row>
    <row r="57" spans="1:18" x14ac:dyDescent="0.25">
      <c r="J57" s="39"/>
      <c r="K57" s="39"/>
      <c r="L57" s="39"/>
      <c r="M57" s="39"/>
      <c r="N57" s="39"/>
      <c r="O57" s="40"/>
      <c r="P57" s="41"/>
      <c r="Q57" s="39"/>
      <c r="R57" s="42"/>
    </row>
    <row r="58" spans="1:18" x14ac:dyDescent="0.25">
      <c r="J58" s="39"/>
      <c r="K58" s="39"/>
      <c r="L58" s="39"/>
      <c r="M58" s="39"/>
      <c r="N58" s="39"/>
      <c r="O58" s="40"/>
      <c r="P58" s="41"/>
      <c r="Q58" s="39"/>
      <c r="R58" s="4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B740-89E8-406A-A05C-D3E0DADFCD80}">
  <sheetPr codeName="Sheet1"/>
  <dimension ref="A1:V45"/>
  <sheetViews>
    <sheetView tabSelected="1" zoomScaleNormal="100" zoomScaleSheetLayoutView="115" workbookViewId="0">
      <selection activeCell="C15" sqref="C15:G15"/>
    </sheetView>
  </sheetViews>
  <sheetFormatPr defaultRowHeight="15" x14ac:dyDescent="0.25"/>
  <cols>
    <col min="1" max="1" width="2.85546875" style="4" customWidth="1"/>
    <col min="2" max="2" width="7.140625" style="4" customWidth="1"/>
    <col min="3" max="3" width="19.28515625" style="4" customWidth="1"/>
    <col min="4" max="4" width="8.5703125" style="4" customWidth="1"/>
    <col min="5" max="5" width="7.140625" style="4" customWidth="1"/>
    <col min="6" max="6" width="8.5703125" style="4" customWidth="1"/>
    <col min="7" max="7" width="5.42578125" style="4" customWidth="1"/>
    <col min="8" max="8" width="7.140625" style="4" customWidth="1"/>
    <col min="9" max="10" width="10.7109375" style="4" customWidth="1"/>
    <col min="11" max="11" width="2.85546875" style="4" customWidth="1"/>
    <col min="12" max="16384" width="9.140625" style="4"/>
  </cols>
  <sheetData>
    <row r="1" spans="1:22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</row>
    <row r="2" spans="1:22" ht="31.5" x14ac:dyDescent="0.5">
      <c r="B2" s="64" t="s">
        <v>126</v>
      </c>
      <c r="C2" s="64"/>
      <c r="D2" s="64"/>
      <c r="E2" s="64"/>
      <c r="F2" s="64"/>
      <c r="G2" s="64"/>
      <c r="H2" s="64"/>
      <c r="J2" s="5" t="s">
        <v>4</v>
      </c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</row>
    <row r="3" spans="1:22" x14ac:dyDescent="0.25">
      <c r="B3" s="68" t="s">
        <v>127</v>
      </c>
      <c r="C3" s="68"/>
      <c r="D3" s="68"/>
      <c r="E3" s="68"/>
      <c r="I3" s="51" t="str">
        <f>"#"&amp;TEXT(COUNTA('Invoice History'!$A$2:$A$1048576),"000000000")</f>
        <v>#000000000</v>
      </c>
      <c r="J3" s="51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</row>
    <row r="4" spans="1:22" x14ac:dyDescent="0.25">
      <c r="B4" s="68" t="s">
        <v>128</v>
      </c>
      <c r="C4" s="68"/>
      <c r="D4" s="68"/>
      <c r="E4" s="68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</row>
    <row r="5" spans="1:22" x14ac:dyDescent="0.25">
      <c r="B5" s="68" t="s">
        <v>129</v>
      </c>
      <c r="C5" s="68"/>
      <c r="D5" s="68"/>
      <c r="E5" s="68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</row>
    <row r="6" spans="1:22" x14ac:dyDescent="0.25"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</row>
    <row r="7" spans="1:22" x14ac:dyDescent="0.25">
      <c r="B7" s="4" t="s">
        <v>10</v>
      </c>
      <c r="G7" s="4" t="s">
        <v>0</v>
      </c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</row>
    <row r="8" spans="1:22" x14ac:dyDescent="0.25">
      <c r="B8" s="70">
        <f ca="1">TODAY()</f>
        <v>46118</v>
      </c>
      <c r="C8" s="70"/>
      <c r="D8" s="70"/>
      <c r="F8" s="35"/>
      <c r="G8" s="63" t="s">
        <v>130</v>
      </c>
      <c r="H8" s="63"/>
      <c r="I8" s="63"/>
      <c r="J8" s="63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</row>
    <row r="9" spans="1:22" x14ac:dyDescent="0.25">
      <c r="B9" s="10" t="s">
        <v>11</v>
      </c>
      <c r="G9" s="63" t="s">
        <v>131</v>
      </c>
      <c r="H9" s="63"/>
      <c r="I9" s="63"/>
      <c r="J9" s="63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</row>
    <row r="10" spans="1:22" x14ac:dyDescent="0.25">
      <c r="B10" s="5">
        <v>30</v>
      </c>
      <c r="C10" s="10" t="s">
        <v>13</v>
      </c>
      <c r="G10" s="72" t="s">
        <v>132</v>
      </c>
      <c r="H10" s="63"/>
      <c r="I10" s="63"/>
      <c r="J10" s="63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</row>
    <row r="11" spans="1:22" x14ac:dyDescent="0.25">
      <c r="B11" s="69" t="s">
        <v>12</v>
      </c>
      <c r="C11" s="69"/>
      <c r="G11" s="72" t="s">
        <v>133</v>
      </c>
      <c r="H11" s="63"/>
      <c r="I11" s="63"/>
      <c r="J11" s="63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1:22" x14ac:dyDescent="0.25">
      <c r="B12" s="70">
        <f ca="1">B8+B10</f>
        <v>46148</v>
      </c>
      <c r="C12" s="70"/>
      <c r="D12" s="70"/>
      <c r="E12" s="35"/>
      <c r="F12" s="35"/>
      <c r="G12" s="35"/>
      <c r="J12" s="11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1:22" x14ac:dyDescent="0.25"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</row>
    <row r="14" spans="1:22" x14ac:dyDescent="0.25">
      <c r="B14" s="9" t="s">
        <v>6</v>
      </c>
      <c r="C14" s="12" t="s">
        <v>5</v>
      </c>
      <c r="D14" s="12"/>
      <c r="E14" s="12"/>
      <c r="F14" s="12"/>
      <c r="G14" s="12"/>
      <c r="H14" s="6" t="s">
        <v>1</v>
      </c>
      <c r="I14" s="7" t="s">
        <v>2</v>
      </c>
      <c r="J14" s="8" t="s">
        <v>3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</row>
    <row r="15" spans="1:22" x14ac:dyDescent="0.25">
      <c r="B15" s="13">
        <v>1</v>
      </c>
      <c r="C15" s="65"/>
      <c r="D15" s="65"/>
      <c r="E15" s="65"/>
      <c r="F15" s="65"/>
      <c r="G15" s="65"/>
      <c r="H15" s="14"/>
      <c r="I15" s="15" t="str">
        <f>IF(C15&lt;&gt;"",VLOOKUP(C15,InventoryTable[[Item Description]:[Sell Price]],6,FALSE),"")</f>
        <v/>
      </c>
      <c r="J15" s="16" t="str">
        <f>IF(C15&lt;&gt;"",H15*I15,"")</f>
        <v/>
      </c>
      <c r="M15" s="34"/>
      <c r="N15" s="34"/>
      <c r="O15" s="34"/>
      <c r="P15" s="34"/>
      <c r="Q15" s="34"/>
      <c r="R15" s="34"/>
      <c r="S15" s="34"/>
      <c r="T15" s="34"/>
      <c r="U15" s="34"/>
      <c r="V15" s="34"/>
    </row>
    <row r="16" spans="1:22" x14ac:dyDescent="0.25">
      <c r="B16" s="17">
        <v>2</v>
      </c>
      <c r="C16" s="66"/>
      <c r="D16" s="66"/>
      <c r="E16" s="66"/>
      <c r="F16" s="66"/>
      <c r="G16" s="66"/>
      <c r="H16" s="18"/>
      <c r="I16" s="19" t="str">
        <f>IF(C16&lt;&gt;"",VLOOKUP(C16,InventoryTable[[Item Description]:[Sell Price]],6,FALSE),"")</f>
        <v/>
      </c>
      <c r="J16" s="20" t="str">
        <f t="shared" ref="J16:J34" si="0">IF(C16&lt;&gt;"",H16*I16,"")</f>
        <v/>
      </c>
      <c r="M16" s="34"/>
      <c r="N16" s="34"/>
      <c r="O16" s="34"/>
      <c r="P16" s="34"/>
      <c r="Q16" s="34"/>
      <c r="R16" s="34"/>
      <c r="S16" s="34"/>
      <c r="T16" s="34"/>
      <c r="U16" s="34"/>
      <c r="V16" s="34"/>
    </row>
    <row r="17" spans="2:22" x14ac:dyDescent="0.25">
      <c r="B17" s="21">
        <v>3</v>
      </c>
      <c r="C17" s="67"/>
      <c r="D17" s="67"/>
      <c r="E17" s="67"/>
      <c r="F17" s="67"/>
      <c r="G17" s="67"/>
      <c r="H17" s="22"/>
      <c r="I17" s="23" t="str">
        <f>IF(C17&lt;&gt;"",VLOOKUP(C17,InventoryTable[[Item Description]:[Sell Price]],6,FALSE),"")</f>
        <v/>
      </c>
      <c r="J17" s="24" t="str">
        <f t="shared" si="0"/>
        <v/>
      </c>
      <c r="M17" s="34"/>
      <c r="N17" s="34"/>
      <c r="O17" s="34"/>
      <c r="P17" s="71"/>
      <c r="Q17" s="34"/>
      <c r="R17" s="34"/>
      <c r="S17" s="34"/>
      <c r="T17" s="34"/>
      <c r="U17" s="34"/>
      <c r="V17" s="34"/>
    </row>
    <row r="18" spans="2:22" x14ac:dyDescent="0.25">
      <c r="B18" s="17">
        <v>4</v>
      </c>
      <c r="C18" s="55"/>
      <c r="D18" s="56"/>
      <c r="E18" s="56"/>
      <c r="F18" s="56"/>
      <c r="G18" s="57"/>
      <c r="H18" s="18"/>
      <c r="I18" s="19" t="str">
        <f>IF(C18&lt;&gt;"",VLOOKUP(C18,InventoryTable[[Item Description]:[Sell Price]],6,FALSE),"")</f>
        <v/>
      </c>
      <c r="J18" s="20" t="str">
        <f t="shared" si="0"/>
        <v/>
      </c>
      <c r="M18" s="34"/>
      <c r="N18" s="34"/>
      <c r="O18" s="34"/>
      <c r="P18" s="71"/>
      <c r="Q18" s="34"/>
      <c r="R18" s="34"/>
      <c r="S18" s="34"/>
      <c r="T18" s="34"/>
      <c r="U18" s="34"/>
      <c r="V18" s="34"/>
    </row>
    <row r="19" spans="2:22" x14ac:dyDescent="0.25">
      <c r="B19" s="21">
        <v>5</v>
      </c>
      <c r="C19" s="52"/>
      <c r="D19" s="53"/>
      <c r="E19" s="53"/>
      <c r="F19" s="53"/>
      <c r="G19" s="54"/>
      <c r="H19" s="22"/>
      <c r="I19" s="23" t="str">
        <f>IF(C19&lt;&gt;"",VLOOKUP(C19,InventoryTable[[Item Description]:[Sell Price]],6,FALSE),"")</f>
        <v/>
      </c>
      <c r="J19" s="24" t="str">
        <f t="shared" si="0"/>
        <v/>
      </c>
      <c r="M19" s="34"/>
      <c r="N19" s="34"/>
      <c r="O19" s="34"/>
      <c r="P19" s="71"/>
      <c r="Q19" s="34"/>
      <c r="R19" s="34"/>
      <c r="S19" s="34"/>
      <c r="T19" s="34"/>
      <c r="U19" s="34"/>
      <c r="V19" s="34"/>
    </row>
    <row r="20" spans="2:22" x14ac:dyDescent="0.25">
      <c r="B20" s="17">
        <v>6</v>
      </c>
      <c r="C20" s="55"/>
      <c r="D20" s="56"/>
      <c r="E20" s="56"/>
      <c r="F20" s="56"/>
      <c r="G20" s="57"/>
      <c r="H20" s="18"/>
      <c r="I20" s="19" t="str">
        <f>IF(C20&lt;&gt;"",VLOOKUP(C20,InventoryTable[[Item Description]:[Sell Price]],6,FALSE),"")</f>
        <v/>
      </c>
      <c r="J20" s="20" t="str">
        <f t="shared" si="0"/>
        <v/>
      </c>
      <c r="M20" s="34"/>
      <c r="N20" s="34"/>
      <c r="O20" s="34"/>
      <c r="P20" s="71"/>
      <c r="Q20" s="34"/>
      <c r="R20" s="34"/>
      <c r="S20" s="34"/>
      <c r="T20" s="34"/>
      <c r="U20" s="34"/>
      <c r="V20" s="34"/>
    </row>
    <row r="21" spans="2:22" x14ac:dyDescent="0.25">
      <c r="B21" s="21">
        <v>7</v>
      </c>
      <c r="C21" s="52"/>
      <c r="D21" s="53"/>
      <c r="E21" s="53"/>
      <c r="F21" s="53"/>
      <c r="G21" s="54"/>
      <c r="H21" s="22"/>
      <c r="I21" s="23" t="str">
        <f>IF(C21&lt;&gt;"",VLOOKUP(C21,InventoryTable[[Item Description]:[Sell Price]],6,FALSE),"")</f>
        <v/>
      </c>
      <c r="J21" s="24" t="str">
        <f t="shared" si="0"/>
        <v/>
      </c>
      <c r="N21" s="34"/>
      <c r="O21" s="34"/>
      <c r="P21" s="71"/>
      <c r="Q21" s="34"/>
      <c r="R21" s="34"/>
      <c r="S21" s="34"/>
      <c r="T21" s="34"/>
      <c r="U21" s="34"/>
      <c r="V21" s="34"/>
    </row>
    <row r="22" spans="2:22" x14ac:dyDescent="0.25">
      <c r="B22" s="17">
        <v>8</v>
      </c>
      <c r="C22" s="55"/>
      <c r="D22" s="56"/>
      <c r="E22" s="56"/>
      <c r="F22" s="56"/>
      <c r="G22" s="57"/>
      <c r="H22" s="18"/>
      <c r="I22" s="19" t="str">
        <f>IF(C22&lt;&gt;"",VLOOKUP(C22,InventoryTable[[Item Description]:[Sell Price]],6,FALSE),"")</f>
        <v/>
      </c>
      <c r="J22" s="20" t="str">
        <f t="shared" si="0"/>
        <v/>
      </c>
      <c r="M22" s="34"/>
      <c r="N22" s="34"/>
      <c r="O22" s="34"/>
      <c r="P22" s="71"/>
      <c r="Q22" s="34"/>
      <c r="R22" s="34"/>
      <c r="S22" s="34"/>
      <c r="T22" s="34"/>
      <c r="U22" s="34"/>
      <c r="V22" s="34"/>
    </row>
    <row r="23" spans="2:22" x14ac:dyDescent="0.25">
      <c r="B23" s="21">
        <v>9</v>
      </c>
      <c r="C23" s="52"/>
      <c r="D23" s="53"/>
      <c r="E23" s="53"/>
      <c r="F23" s="53"/>
      <c r="G23" s="54"/>
      <c r="H23" s="22"/>
      <c r="I23" s="23" t="str">
        <f>IF(C23&lt;&gt;"",VLOOKUP(C23,InventoryTable[[Item Description]:[Sell Price]],6,FALSE),"")</f>
        <v/>
      </c>
      <c r="J23" s="24" t="str">
        <f t="shared" si="0"/>
        <v/>
      </c>
      <c r="M23" s="34"/>
      <c r="N23" s="34"/>
      <c r="O23" s="34"/>
      <c r="P23" s="71"/>
      <c r="Q23" s="34"/>
      <c r="R23" s="34"/>
      <c r="S23" s="34"/>
      <c r="T23" s="34"/>
      <c r="U23" s="34"/>
      <c r="V23" s="34"/>
    </row>
    <row r="24" spans="2:22" x14ac:dyDescent="0.25">
      <c r="B24" s="17">
        <v>10</v>
      </c>
      <c r="C24" s="55"/>
      <c r="D24" s="56"/>
      <c r="E24" s="56"/>
      <c r="F24" s="56"/>
      <c r="G24" s="57"/>
      <c r="H24" s="18"/>
      <c r="I24" s="19" t="str">
        <f>IF(C24&lt;&gt;"",VLOOKUP(C24,InventoryTable[[Item Description]:[Sell Price]],6,FALSE),"")</f>
        <v/>
      </c>
      <c r="J24" s="20" t="str">
        <f t="shared" si="0"/>
        <v/>
      </c>
      <c r="M24" s="34"/>
      <c r="N24" s="34"/>
      <c r="O24" s="34"/>
      <c r="P24" s="71"/>
      <c r="Q24" s="34"/>
      <c r="R24" s="34"/>
      <c r="S24" s="34"/>
      <c r="T24" s="34"/>
      <c r="U24" s="34"/>
      <c r="V24" s="34"/>
    </row>
    <row r="25" spans="2:22" x14ac:dyDescent="0.25">
      <c r="B25" s="21">
        <v>11</v>
      </c>
      <c r="C25" s="52"/>
      <c r="D25" s="53"/>
      <c r="E25" s="53"/>
      <c r="F25" s="53"/>
      <c r="G25" s="54"/>
      <c r="H25" s="22"/>
      <c r="I25" s="23" t="str">
        <f>IF(C25&lt;&gt;"",VLOOKUP(C25,InventoryTable[[Item Description]:[Sell Price]],6,FALSE),"")</f>
        <v/>
      </c>
      <c r="J25" s="24" t="str">
        <f t="shared" si="0"/>
        <v/>
      </c>
      <c r="M25" s="34"/>
      <c r="N25" s="34"/>
      <c r="O25" s="34"/>
      <c r="P25" s="71"/>
      <c r="Q25" s="34"/>
      <c r="R25" s="34"/>
      <c r="S25" s="34"/>
      <c r="T25" s="34"/>
      <c r="U25" s="34"/>
      <c r="V25" s="34"/>
    </row>
    <row r="26" spans="2:22" x14ac:dyDescent="0.25">
      <c r="B26" s="17">
        <v>12</v>
      </c>
      <c r="C26" s="55"/>
      <c r="D26" s="56"/>
      <c r="E26" s="56"/>
      <c r="F26" s="56"/>
      <c r="G26" s="57"/>
      <c r="H26" s="18"/>
      <c r="I26" s="19" t="str">
        <f>IF(C26&lt;&gt;"",VLOOKUP(C26,InventoryTable[[Item Description]:[Sell Price]],6,FALSE),"")</f>
        <v/>
      </c>
      <c r="J26" s="20" t="str">
        <f t="shared" si="0"/>
        <v/>
      </c>
      <c r="M26" s="34"/>
      <c r="N26" s="34"/>
      <c r="O26" s="34"/>
      <c r="P26" s="71"/>
      <c r="Q26" s="34"/>
      <c r="R26" s="34"/>
      <c r="S26" s="34"/>
      <c r="T26" s="34"/>
      <c r="U26" s="34"/>
      <c r="V26" s="34"/>
    </row>
    <row r="27" spans="2:22" x14ac:dyDescent="0.25">
      <c r="B27" s="21">
        <v>13</v>
      </c>
      <c r="C27" s="52"/>
      <c r="D27" s="53"/>
      <c r="E27" s="53"/>
      <c r="F27" s="53"/>
      <c r="G27" s="54"/>
      <c r="H27" s="22"/>
      <c r="I27" s="23" t="str">
        <f>IF(C27&lt;&gt;"",VLOOKUP(C27,InventoryTable[[Item Description]:[Sell Price]],6,FALSE),"")</f>
        <v/>
      </c>
      <c r="J27" s="24" t="str">
        <f t="shared" si="0"/>
        <v/>
      </c>
      <c r="M27" s="34"/>
      <c r="N27" s="34"/>
      <c r="O27" s="34"/>
      <c r="P27" s="71"/>
      <c r="Q27" s="34"/>
      <c r="R27" s="34"/>
      <c r="S27" s="34"/>
      <c r="T27" s="34"/>
      <c r="U27" s="34"/>
      <c r="V27" s="34"/>
    </row>
    <row r="28" spans="2:22" x14ac:dyDescent="0.25">
      <c r="B28" s="17">
        <v>14</v>
      </c>
      <c r="C28" s="55"/>
      <c r="D28" s="56"/>
      <c r="E28" s="56"/>
      <c r="F28" s="56"/>
      <c r="G28" s="57"/>
      <c r="H28" s="18"/>
      <c r="I28" s="19" t="str">
        <f>IF(C28&lt;&gt;"",VLOOKUP(C28,InventoryTable[[Item Description]:[Sell Price]],6,FALSE),"")</f>
        <v/>
      </c>
      <c r="J28" s="20" t="str">
        <f t="shared" si="0"/>
        <v/>
      </c>
      <c r="M28" s="34"/>
      <c r="N28" s="34"/>
      <c r="O28" s="34"/>
      <c r="P28" s="71"/>
      <c r="Q28" s="34"/>
      <c r="R28" s="34"/>
      <c r="S28" s="34"/>
      <c r="T28" s="34"/>
      <c r="U28" s="34"/>
      <c r="V28" s="34"/>
    </row>
    <row r="29" spans="2:22" x14ac:dyDescent="0.25">
      <c r="B29" s="21">
        <v>15</v>
      </c>
      <c r="C29" s="52"/>
      <c r="D29" s="53"/>
      <c r="E29" s="53"/>
      <c r="F29" s="53"/>
      <c r="G29" s="54"/>
      <c r="H29" s="22"/>
      <c r="I29" s="23" t="str">
        <f>IF(C29&lt;&gt;"",VLOOKUP(C29,InventoryTable[[Item Description]:[Sell Price]],6,FALSE),"")</f>
        <v/>
      </c>
      <c r="J29" s="24" t="str">
        <f t="shared" si="0"/>
        <v/>
      </c>
      <c r="M29" s="34"/>
      <c r="N29" s="34"/>
      <c r="O29" s="34"/>
      <c r="P29" s="71"/>
      <c r="Q29" s="34"/>
      <c r="R29" s="34"/>
      <c r="S29" s="34"/>
      <c r="T29" s="34"/>
      <c r="U29" s="34"/>
      <c r="V29" s="34"/>
    </row>
    <row r="30" spans="2:22" x14ac:dyDescent="0.25">
      <c r="B30" s="17">
        <v>16</v>
      </c>
      <c r="C30" s="55"/>
      <c r="D30" s="56"/>
      <c r="E30" s="56"/>
      <c r="F30" s="56"/>
      <c r="G30" s="57"/>
      <c r="H30" s="18"/>
      <c r="I30" s="19" t="str">
        <f>IF(C30&lt;&gt;"",VLOOKUP(C30,InventoryTable[[Item Description]:[Sell Price]],6,FALSE),"")</f>
        <v/>
      </c>
      <c r="J30" s="20" t="str">
        <f t="shared" si="0"/>
        <v/>
      </c>
      <c r="M30" s="34"/>
      <c r="N30" s="34"/>
      <c r="O30" s="34"/>
      <c r="P30" s="71"/>
      <c r="Q30" s="34"/>
      <c r="R30" s="34"/>
      <c r="S30" s="34"/>
      <c r="T30" s="34"/>
      <c r="U30" s="34"/>
      <c r="V30" s="34"/>
    </row>
    <row r="31" spans="2:22" x14ac:dyDescent="0.25">
      <c r="B31" s="21">
        <v>17</v>
      </c>
      <c r="C31" s="52"/>
      <c r="D31" s="53"/>
      <c r="E31" s="53"/>
      <c r="F31" s="53"/>
      <c r="G31" s="54"/>
      <c r="H31" s="22"/>
      <c r="I31" s="23" t="str">
        <f>IF(C31&lt;&gt;"",VLOOKUP(C31,InventoryTable[[Item Description]:[Sell Price]],6,FALSE),"")</f>
        <v/>
      </c>
      <c r="J31" s="24" t="str">
        <f t="shared" si="0"/>
        <v/>
      </c>
      <c r="M31" s="34"/>
      <c r="N31" s="34"/>
      <c r="O31" s="34"/>
      <c r="P31" s="71"/>
      <c r="Q31" s="34"/>
      <c r="R31" s="34"/>
      <c r="S31" s="34"/>
      <c r="T31" s="34"/>
      <c r="U31" s="34"/>
      <c r="V31" s="34"/>
    </row>
    <row r="32" spans="2:22" x14ac:dyDescent="0.25">
      <c r="B32" s="17">
        <v>18</v>
      </c>
      <c r="C32" s="55"/>
      <c r="D32" s="56"/>
      <c r="E32" s="56"/>
      <c r="F32" s="56"/>
      <c r="G32" s="57"/>
      <c r="H32" s="18"/>
      <c r="I32" s="19" t="str">
        <f>IF(C32&lt;&gt;"",VLOOKUP(C32,InventoryTable[[Item Description]:[Sell Price]],6,FALSE),"")</f>
        <v/>
      </c>
      <c r="J32" s="20" t="str">
        <f t="shared" si="0"/>
        <v/>
      </c>
      <c r="M32" s="34"/>
      <c r="N32" s="34"/>
      <c r="O32" s="34"/>
      <c r="P32" s="71"/>
      <c r="Q32" s="34"/>
      <c r="R32" s="34"/>
      <c r="S32" s="34"/>
      <c r="T32" s="34"/>
      <c r="U32" s="34"/>
      <c r="V32" s="34"/>
    </row>
    <row r="33" spans="2:22" x14ac:dyDescent="0.25">
      <c r="B33" s="21">
        <v>19</v>
      </c>
      <c r="C33" s="52"/>
      <c r="D33" s="53"/>
      <c r="E33" s="53"/>
      <c r="F33" s="53"/>
      <c r="G33" s="54"/>
      <c r="H33" s="22"/>
      <c r="I33" s="23" t="str">
        <f>IF(C33&lt;&gt;"",VLOOKUP(C33,InventoryTable[[Item Description]:[Sell Price]],6,FALSE),"")</f>
        <v/>
      </c>
      <c r="J33" s="24" t="str">
        <f t="shared" si="0"/>
        <v/>
      </c>
      <c r="M33" s="34"/>
      <c r="N33" s="34"/>
      <c r="O33" s="34"/>
      <c r="P33" s="71"/>
      <c r="Q33" s="34"/>
      <c r="R33" s="34"/>
      <c r="S33" s="34"/>
      <c r="T33" s="34"/>
      <c r="U33" s="34"/>
      <c r="V33" s="34"/>
    </row>
    <row r="34" spans="2:22" x14ac:dyDescent="0.25">
      <c r="B34" s="25">
        <v>20</v>
      </c>
      <c r="C34" s="58"/>
      <c r="D34" s="59"/>
      <c r="E34" s="59"/>
      <c r="F34" s="59"/>
      <c r="G34" s="60"/>
      <c r="H34" s="26"/>
      <c r="I34" s="27" t="str">
        <f>IF(C34&lt;&gt;"",VLOOKUP(C34,InventoryTable[[Item Description]:[Sell Price]],6,FALSE),"")</f>
        <v/>
      </c>
      <c r="J34" s="28" t="str">
        <f t="shared" si="0"/>
        <v/>
      </c>
      <c r="M34" s="34"/>
      <c r="N34" s="34"/>
      <c r="O34" s="34"/>
      <c r="P34" s="71"/>
      <c r="Q34" s="34"/>
      <c r="R34" s="34"/>
      <c r="S34" s="34"/>
      <c r="T34" s="34"/>
      <c r="U34" s="34"/>
      <c r="V34" s="34"/>
    </row>
    <row r="35" spans="2:22" x14ac:dyDescent="0.25">
      <c r="H35" s="61" t="s">
        <v>8</v>
      </c>
      <c r="I35" s="62"/>
      <c r="J35" s="29">
        <f>SUMIF(J15:J34,"&gt;="&amp;0)</f>
        <v>0</v>
      </c>
      <c r="L35" s="34"/>
      <c r="M35" s="34"/>
      <c r="N35" s="34"/>
      <c r="O35" s="34"/>
      <c r="P35" s="71"/>
      <c r="Q35" s="34"/>
      <c r="R35" s="34"/>
      <c r="S35" s="34"/>
      <c r="T35" s="34"/>
      <c r="U35" s="34"/>
      <c r="V35" s="34"/>
    </row>
    <row r="36" spans="2:22" x14ac:dyDescent="0.25">
      <c r="H36" s="47" t="s">
        <v>14</v>
      </c>
      <c r="I36" s="48"/>
      <c r="J36" s="29">
        <f>-SUMIF(J15:J34,"&lt;"&amp;0)</f>
        <v>0</v>
      </c>
      <c r="L36" s="34"/>
      <c r="M36" s="34"/>
      <c r="N36" s="34"/>
      <c r="O36" s="34"/>
      <c r="P36" s="71"/>
      <c r="Q36" s="34"/>
      <c r="R36" s="34"/>
      <c r="S36" s="34"/>
      <c r="T36" s="34"/>
      <c r="U36" s="34"/>
      <c r="V36" s="34"/>
    </row>
    <row r="37" spans="2:22" x14ac:dyDescent="0.25">
      <c r="H37" s="47" t="s">
        <v>7</v>
      </c>
      <c r="I37" s="48"/>
      <c r="J37" s="29" cm="1">
        <f t="array" ref="J37">SUM(IF(H15:H34&lt;&gt;0,H15:H34*I15:I34*VLOOKUP(C15:C34,InventoryTable[[Item Description]:[Tax%]],7,FALSE), 0))</f>
        <v>0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</row>
    <row r="38" spans="2:22" x14ac:dyDescent="0.25">
      <c r="H38" s="49" t="s">
        <v>9</v>
      </c>
      <c r="I38" s="50"/>
      <c r="J38" s="30">
        <f>J35-J36+J37</f>
        <v>0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</row>
    <row r="39" spans="2:22" x14ac:dyDescent="0.25"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</row>
    <row r="40" spans="2:22" x14ac:dyDescent="0.25"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</row>
    <row r="41" spans="2:22" x14ac:dyDescent="0.25"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</row>
    <row r="42" spans="2:22" x14ac:dyDescent="0.25"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</row>
    <row r="43" spans="2:22" x14ac:dyDescent="0.25"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</row>
    <row r="44" spans="2:22" x14ac:dyDescent="0.25"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</row>
    <row r="45" spans="2:22" x14ac:dyDescent="0.25"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</row>
  </sheetData>
  <mergeCells count="36">
    <mergeCell ref="C21:G21"/>
    <mergeCell ref="B11:C11"/>
    <mergeCell ref="B12:D12"/>
    <mergeCell ref="B8:D8"/>
    <mergeCell ref="C30:G30"/>
    <mergeCell ref="C31:G31"/>
    <mergeCell ref="C22:G22"/>
    <mergeCell ref="C23:G23"/>
    <mergeCell ref="C24:G24"/>
    <mergeCell ref="C25:G25"/>
    <mergeCell ref="C26:G26"/>
    <mergeCell ref="B2:H2"/>
    <mergeCell ref="C15:G15"/>
    <mergeCell ref="C16:G16"/>
    <mergeCell ref="C17:G17"/>
    <mergeCell ref="C18:G18"/>
    <mergeCell ref="B3:E3"/>
    <mergeCell ref="B4:E4"/>
    <mergeCell ref="B5:E5"/>
    <mergeCell ref="G11:J11"/>
    <mergeCell ref="H37:I37"/>
    <mergeCell ref="H38:I38"/>
    <mergeCell ref="I3:J3"/>
    <mergeCell ref="C19:G19"/>
    <mergeCell ref="C20:G20"/>
    <mergeCell ref="C32:G32"/>
    <mergeCell ref="C33:G33"/>
    <mergeCell ref="C34:G34"/>
    <mergeCell ref="H35:I35"/>
    <mergeCell ref="H36:I36"/>
    <mergeCell ref="C27:G27"/>
    <mergeCell ref="C28:G28"/>
    <mergeCell ref="C29:G29"/>
    <mergeCell ref="G8:J8"/>
    <mergeCell ref="G9:J9"/>
    <mergeCell ref="G10:J10"/>
  </mergeCells>
  <dataValidations count="1">
    <dataValidation type="list" allowBlank="1" showInputMessage="1" showErrorMessage="1" sqref="C15:G34" xr:uid="{664272CC-DCB0-4431-920C-BCAC16CFDEB0}">
      <formula1>ItemList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E6EC1BE-EFA3-4186-9CCB-EABD32A82B8E}">
            <xm:f>VLOOKUP(C15,Inventory!$B$2:$C5,2,FALSE)&lt;H15</xm:f>
            <x14:dxf>
              <fill>
                <patternFill>
                  <bgColor theme="5" tint="0.39994506668294322"/>
                </patternFill>
              </fill>
            </x14:dxf>
          </x14:cfRule>
          <xm:sqref>H15:H34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04548-DD35-4FDD-8229-068B36DC45C0}">
  <sheetPr codeName="Sheet2"/>
  <dimension ref="A1:J77"/>
  <sheetViews>
    <sheetView workbookViewId="0">
      <selection activeCell="A2" sqref="A2"/>
    </sheetView>
  </sheetViews>
  <sheetFormatPr defaultRowHeight="15" x14ac:dyDescent="0.25"/>
  <cols>
    <col min="1" max="1" width="18.28515625" customWidth="1"/>
    <col min="2" max="2" width="20.42578125" bestFit="1" customWidth="1"/>
    <col min="3" max="3" width="34" bestFit="1" customWidth="1"/>
    <col min="4" max="4" width="10.5703125" customWidth="1"/>
    <col min="5" max="5" width="10.85546875" customWidth="1"/>
    <col min="6" max="6" width="9.85546875" customWidth="1"/>
  </cols>
  <sheetData>
    <row r="1" spans="1:10" x14ac:dyDescent="0.25">
      <c r="A1" t="s">
        <v>22</v>
      </c>
      <c r="B1" t="s">
        <v>23</v>
      </c>
      <c r="C1" t="s">
        <v>5</v>
      </c>
      <c r="D1" t="s">
        <v>24</v>
      </c>
      <c r="E1" t="s">
        <v>2</v>
      </c>
      <c r="F1" t="s">
        <v>3</v>
      </c>
    </row>
    <row r="2" spans="1:10" x14ac:dyDescent="0.25">
      <c r="C2" s="37"/>
      <c r="D2" s="38"/>
      <c r="E2" s="32"/>
      <c r="F2" s="32"/>
    </row>
    <row r="3" spans="1:10" x14ac:dyDescent="0.25">
      <c r="C3" s="37"/>
      <c r="D3" s="38"/>
      <c r="E3" s="32"/>
      <c r="F3" s="32"/>
    </row>
    <row r="4" spans="1:10" x14ac:dyDescent="0.25">
      <c r="C4" s="37"/>
      <c r="D4" s="38"/>
      <c r="E4" s="32"/>
      <c r="F4" s="32"/>
    </row>
    <row r="5" spans="1:10" x14ac:dyDescent="0.25">
      <c r="C5" s="37"/>
      <c r="D5" s="38"/>
      <c r="E5" s="32"/>
      <c r="F5" s="32"/>
    </row>
    <row r="6" spans="1:10" x14ac:dyDescent="0.25">
      <c r="B6" s="36"/>
      <c r="C6" s="37"/>
      <c r="D6" s="38"/>
      <c r="E6" s="32"/>
      <c r="F6" s="32"/>
      <c r="I6" t="s">
        <v>25</v>
      </c>
      <c r="J6" t="s">
        <v>25</v>
      </c>
    </row>
    <row r="7" spans="1:10" x14ac:dyDescent="0.25">
      <c r="C7" s="37"/>
      <c r="D7" s="38"/>
      <c r="E7" s="32"/>
      <c r="F7" s="32"/>
      <c r="I7" t="s">
        <v>25</v>
      </c>
      <c r="J7" t="s">
        <v>25</v>
      </c>
    </row>
    <row r="8" spans="1:10" x14ac:dyDescent="0.25">
      <c r="B8" s="36"/>
      <c r="C8" s="37"/>
      <c r="D8" s="38"/>
      <c r="E8" s="32"/>
      <c r="F8" s="32"/>
      <c r="I8" t="s">
        <v>25</v>
      </c>
      <c r="J8" t="s">
        <v>25</v>
      </c>
    </row>
    <row r="9" spans="1:10" x14ac:dyDescent="0.25">
      <c r="B9" s="32"/>
      <c r="C9" s="37"/>
      <c r="D9" s="38"/>
      <c r="E9" s="32"/>
      <c r="F9" s="32"/>
      <c r="I9" t="s">
        <v>25</v>
      </c>
      <c r="J9" t="s">
        <v>25</v>
      </c>
    </row>
    <row r="10" spans="1:10" x14ac:dyDescent="0.25">
      <c r="B10" s="32"/>
      <c r="C10" s="37"/>
      <c r="D10" s="38"/>
      <c r="E10" s="32"/>
      <c r="F10" s="32"/>
      <c r="I10" t="s">
        <v>25</v>
      </c>
      <c r="J10" t="s">
        <v>25</v>
      </c>
    </row>
    <row r="11" spans="1:10" x14ac:dyDescent="0.25">
      <c r="B11" s="32"/>
      <c r="C11" s="37"/>
      <c r="D11" s="38"/>
      <c r="E11" s="32"/>
      <c r="F11" s="32"/>
      <c r="I11" t="s">
        <v>25</v>
      </c>
      <c r="J11" t="s">
        <v>25</v>
      </c>
    </row>
    <row r="12" spans="1:10" x14ac:dyDescent="0.25">
      <c r="B12" s="32"/>
      <c r="C12" s="37"/>
      <c r="D12" s="38"/>
      <c r="E12" s="32"/>
      <c r="F12" s="32"/>
      <c r="I12" t="s">
        <v>25</v>
      </c>
      <c r="J12" t="s">
        <v>25</v>
      </c>
    </row>
    <row r="13" spans="1:10" x14ac:dyDescent="0.25">
      <c r="B13" s="32"/>
      <c r="C13" s="37"/>
      <c r="D13" s="38"/>
      <c r="E13" s="32"/>
      <c r="F13" s="32"/>
      <c r="I13" t="s">
        <v>25</v>
      </c>
      <c r="J13" t="s">
        <v>25</v>
      </c>
    </row>
    <row r="14" spans="1:10" x14ac:dyDescent="0.25">
      <c r="B14" s="32"/>
      <c r="C14" s="37"/>
      <c r="D14" s="38"/>
      <c r="E14" s="32"/>
      <c r="F14" s="32"/>
      <c r="I14" t="s">
        <v>25</v>
      </c>
      <c r="J14" t="s">
        <v>25</v>
      </c>
    </row>
    <row r="15" spans="1:10" x14ac:dyDescent="0.25">
      <c r="C15" s="37"/>
      <c r="D15" s="38"/>
      <c r="E15" s="32"/>
      <c r="F15" s="32"/>
      <c r="I15" t="s">
        <v>25</v>
      </c>
      <c r="J15" t="s">
        <v>25</v>
      </c>
    </row>
    <row r="16" spans="1:10" x14ac:dyDescent="0.25">
      <c r="C16" s="37"/>
      <c r="D16" s="38"/>
      <c r="E16" s="32"/>
      <c r="F16" s="32"/>
      <c r="I16" t="s">
        <v>25</v>
      </c>
      <c r="J16" t="s">
        <v>25</v>
      </c>
    </row>
    <row r="17" spans="2:10" x14ac:dyDescent="0.25">
      <c r="C17" s="37"/>
      <c r="D17" s="38"/>
      <c r="E17" s="32"/>
      <c r="F17" s="32"/>
      <c r="I17" t="s">
        <v>25</v>
      </c>
      <c r="J17" t="s">
        <v>25</v>
      </c>
    </row>
    <row r="18" spans="2:10" x14ac:dyDescent="0.25">
      <c r="C18" s="37"/>
      <c r="D18" s="38"/>
      <c r="E18" s="32"/>
      <c r="F18" s="32"/>
      <c r="I18" t="s">
        <v>25</v>
      </c>
      <c r="J18" t="s">
        <v>25</v>
      </c>
    </row>
    <row r="19" spans="2:10" x14ac:dyDescent="0.25">
      <c r="C19" s="37"/>
      <c r="D19" s="38"/>
      <c r="E19" s="32"/>
      <c r="F19" s="32"/>
      <c r="I19" t="s">
        <v>25</v>
      </c>
      <c r="J19" t="s">
        <v>25</v>
      </c>
    </row>
    <row r="20" spans="2:10" x14ac:dyDescent="0.25">
      <c r="B20" s="36"/>
      <c r="C20" s="37"/>
      <c r="D20" s="38"/>
      <c r="E20" s="32"/>
      <c r="F20" s="32"/>
      <c r="I20" t="s">
        <v>25</v>
      </c>
      <c r="J20" t="s">
        <v>25</v>
      </c>
    </row>
    <row r="21" spans="2:10" x14ac:dyDescent="0.25">
      <c r="B21" s="36"/>
      <c r="C21" s="37"/>
      <c r="D21" s="38"/>
      <c r="E21" s="32"/>
      <c r="F21" s="32"/>
      <c r="I21" t="s">
        <v>25</v>
      </c>
      <c r="J21" t="s">
        <v>25</v>
      </c>
    </row>
    <row r="22" spans="2:10" x14ac:dyDescent="0.25">
      <c r="B22" s="36"/>
      <c r="C22" s="37"/>
      <c r="D22" s="38"/>
      <c r="E22" s="32"/>
      <c r="F22" s="32"/>
    </row>
    <row r="23" spans="2:10" x14ac:dyDescent="0.25">
      <c r="B23" s="32"/>
      <c r="C23" s="37"/>
      <c r="D23" s="38"/>
      <c r="E23" s="32"/>
      <c r="F23" s="32"/>
    </row>
    <row r="24" spans="2:10" x14ac:dyDescent="0.25">
      <c r="B24" s="32"/>
      <c r="C24" s="37"/>
      <c r="D24" s="38"/>
      <c r="E24" s="32"/>
      <c r="F24" s="32"/>
    </row>
    <row r="25" spans="2:10" x14ac:dyDescent="0.25">
      <c r="B25" s="32"/>
      <c r="C25" s="37"/>
      <c r="D25" s="38"/>
      <c r="E25" s="32"/>
      <c r="F25" s="32"/>
    </row>
    <row r="26" spans="2:10" x14ac:dyDescent="0.25">
      <c r="B26" s="32"/>
      <c r="C26" s="37"/>
      <c r="D26" s="38"/>
      <c r="E26" s="32"/>
      <c r="F26" s="32"/>
    </row>
    <row r="27" spans="2:10" x14ac:dyDescent="0.25">
      <c r="B27" s="32"/>
      <c r="C27" s="37"/>
      <c r="D27" s="38"/>
      <c r="E27" s="32"/>
      <c r="F27" s="32"/>
    </row>
    <row r="28" spans="2:10" x14ac:dyDescent="0.25">
      <c r="C28" s="37"/>
      <c r="D28" s="38"/>
      <c r="E28" s="32"/>
      <c r="F28" s="32"/>
    </row>
    <row r="29" spans="2:10" x14ac:dyDescent="0.25">
      <c r="C29" s="37"/>
      <c r="D29" s="38"/>
      <c r="E29" s="32"/>
      <c r="F29" s="32"/>
    </row>
    <row r="30" spans="2:10" x14ac:dyDescent="0.25">
      <c r="C30" s="37"/>
      <c r="D30" s="38"/>
      <c r="E30" s="32"/>
      <c r="F30" s="32"/>
    </row>
    <row r="31" spans="2:10" x14ac:dyDescent="0.25">
      <c r="C31" s="37"/>
      <c r="D31" s="38"/>
      <c r="E31" s="32"/>
      <c r="F31" s="32"/>
    </row>
    <row r="32" spans="2:10" x14ac:dyDescent="0.25">
      <c r="B32" s="36"/>
      <c r="C32" s="37"/>
      <c r="D32" s="38"/>
      <c r="E32" s="32"/>
      <c r="F32" s="32"/>
    </row>
    <row r="33" spans="2:6" x14ac:dyDescent="0.25">
      <c r="C33" s="37"/>
      <c r="D33" s="38"/>
      <c r="E33" s="32"/>
      <c r="F33" s="32"/>
    </row>
    <row r="34" spans="2:6" x14ac:dyDescent="0.25">
      <c r="B34" s="36"/>
      <c r="C34" s="37"/>
      <c r="D34" s="38"/>
      <c r="E34" s="32"/>
      <c r="F34" s="32"/>
    </row>
    <row r="35" spans="2:6" x14ac:dyDescent="0.25">
      <c r="B35" s="32"/>
      <c r="C35" s="37"/>
      <c r="D35" s="38"/>
      <c r="E35" s="32"/>
      <c r="F35" s="32"/>
    </row>
    <row r="36" spans="2:6" x14ac:dyDescent="0.25">
      <c r="B36" s="32"/>
      <c r="C36" s="37"/>
      <c r="D36" s="38"/>
      <c r="E36" s="32"/>
      <c r="F36" s="32"/>
    </row>
    <row r="37" spans="2:6" x14ac:dyDescent="0.25">
      <c r="B37" s="32"/>
      <c r="C37" s="37"/>
      <c r="D37" s="38"/>
      <c r="E37" s="32"/>
      <c r="F37" s="32"/>
    </row>
    <row r="38" spans="2:6" x14ac:dyDescent="0.25">
      <c r="B38" s="32"/>
      <c r="C38" s="37"/>
      <c r="D38" s="38"/>
      <c r="E38" s="32"/>
      <c r="F38" s="32"/>
    </row>
    <row r="39" spans="2:6" x14ac:dyDescent="0.25">
      <c r="C39" s="37"/>
      <c r="D39" s="38"/>
      <c r="E39" s="32"/>
      <c r="F39" s="32"/>
    </row>
    <row r="40" spans="2:6" x14ac:dyDescent="0.25">
      <c r="C40" s="37"/>
      <c r="D40" s="38"/>
      <c r="E40" s="32"/>
      <c r="F40" s="32"/>
    </row>
    <row r="41" spans="2:6" x14ac:dyDescent="0.25">
      <c r="C41" s="37"/>
      <c r="D41" s="38"/>
      <c r="E41" s="32"/>
      <c r="F41" s="32"/>
    </row>
    <row r="42" spans="2:6" x14ac:dyDescent="0.25">
      <c r="C42" s="37"/>
      <c r="D42" s="38"/>
      <c r="E42" s="32"/>
      <c r="F42" s="32"/>
    </row>
    <row r="43" spans="2:6" x14ac:dyDescent="0.25">
      <c r="C43" s="37"/>
      <c r="D43" s="38"/>
      <c r="E43" s="32"/>
      <c r="F43" s="32"/>
    </row>
    <row r="44" spans="2:6" x14ac:dyDescent="0.25">
      <c r="B44" s="36"/>
      <c r="C44" s="37"/>
      <c r="D44" s="38"/>
      <c r="E44" s="32"/>
      <c r="F44" s="32"/>
    </row>
    <row r="45" spans="2:6" x14ac:dyDescent="0.25">
      <c r="C45" s="37"/>
      <c r="D45" s="38"/>
      <c r="E45" s="32"/>
      <c r="F45" s="32"/>
    </row>
    <row r="46" spans="2:6" x14ac:dyDescent="0.25">
      <c r="B46" s="36"/>
      <c r="C46" s="37"/>
      <c r="D46" s="38"/>
      <c r="E46" s="32"/>
      <c r="F46" s="32"/>
    </row>
    <row r="47" spans="2:6" x14ac:dyDescent="0.25">
      <c r="B47" s="32"/>
      <c r="C47" s="37"/>
      <c r="D47" s="38"/>
      <c r="E47" s="32"/>
      <c r="F47" s="32"/>
    </row>
    <row r="48" spans="2:6" x14ac:dyDescent="0.25">
      <c r="B48" s="32"/>
      <c r="C48" s="37"/>
      <c r="D48" s="38"/>
      <c r="E48" s="32"/>
      <c r="F48" s="32"/>
    </row>
    <row r="49" spans="2:6" x14ac:dyDescent="0.25">
      <c r="B49" s="32"/>
      <c r="C49" s="37"/>
      <c r="D49" s="38"/>
      <c r="E49" s="32"/>
      <c r="F49" s="32"/>
    </row>
    <row r="50" spans="2:6" x14ac:dyDescent="0.25">
      <c r="B50" s="32"/>
      <c r="C50" s="37"/>
      <c r="D50" s="38"/>
      <c r="E50" s="32"/>
      <c r="F50" s="32"/>
    </row>
    <row r="51" spans="2:6" x14ac:dyDescent="0.25">
      <c r="C51" s="37"/>
      <c r="D51" s="38"/>
      <c r="E51" s="32"/>
      <c r="F51" s="32"/>
    </row>
    <row r="52" spans="2:6" x14ac:dyDescent="0.25">
      <c r="C52" s="37"/>
      <c r="D52" s="38"/>
      <c r="E52" s="32"/>
      <c r="F52" s="32"/>
    </row>
    <row r="53" spans="2:6" x14ac:dyDescent="0.25">
      <c r="C53" s="37"/>
      <c r="D53" s="38"/>
      <c r="E53" s="32"/>
      <c r="F53" s="32"/>
    </row>
    <row r="54" spans="2:6" x14ac:dyDescent="0.25">
      <c r="C54" s="37"/>
      <c r="D54" s="38"/>
      <c r="E54" s="32"/>
      <c r="F54" s="32"/>
    </row>
    <row r="55" spans="2:6" x14ac:dyDescent="0.25">
      <c r="C55" s="37"/>
      <c r="D55" s="38"/>
      <c r="E55" s="32"/>
      <c r="F55" s="32"/>
    </row>
    <row r="56" spans="2:6" x14ac:dyDescent="0.25">
      <c r="C56" s="37"/>
      <c r="D56" s="38"/>
      <c r="E56" s="32" t="s">
        <v>25</v>
      </c>
      <c r="F56" s="32" t="s">
        <v>25</v>
      </c>
    </row>
    <row r="57" spans="2:6" x14ac:dyDescent="0.25">
      <c r="C57" s="37"/>
      <c r="D57" s="38"/>
      <c r="E57" s="32" t="s">
        <v>25</v>
      </c>
      <c r="F57" s="32" t="s">
        <v>25</v>
      </c>
    </row>
    <row r="58" spans="2:6" x14ac:dyDescent="0.25">
      <c r="C58" s="37"/>
      <c r="D58" s="38"/>
      <c r="E58" s="32" t="s">
        <v>25</v>
      </c>
      <c r="F58" s="32" t="s">
        <v>25</v>
      </c>
    </row>
    <row r="59" spans="2:6" x14ac:dyDescent="0.25">
      <c r="C59" s="37"/>
      <c r="D59" s="38"/>
      <c r="E59" s="32" t="s">
        <v>25</v>
      </c>
      <c r="F59" s="32" t="s">
        <v>25</v>
      </c>
    </row>
    <row r="74" spans="3:6" x14ac:dyDescent="0.25">
      <c r="C74" s="37"/>
      <c r="D74" s="38"/>
      <c r="E74" s="32" t="s">
        <v>25</v>
      </c>
      <c r="F74" s="32" t="s">
        <v>25</v>
      </c>
    </row>
    <row r="75" spans="3:6" x14ac:dyDescent="0.25">
      <c r="C75" s="37"/>
      <c r="D75" s="38"/>
      <c r="E75" s="32" t="s">
        <v>25</v>
      </c>
      <c r="F75" s="32" t="s">
        <v>25</v>
      </c>
    </row>
    <row r="76" spans="3:6" x14ac:dyDescent="0.25">
      <c r="C76" s="37"/>
      <c r="D76" s="38"/>
      <c r="E76" s="32" t="s">
        <v>25</v>
      </c>
      <c r="F76" s="32" t="s">
        <v>25</v>
      </c>
    </row>
    <row r="77" spans="3:6" x14ac:dyDescent="0.25">
      <c r="C77" s="37"/>
      <c r="D77" s="38"/>
      <c r="E77" s="32" t="s">
        <v>25</v>
      </c>
      <c r="F77" s="32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Inventory</vt:lpstr>
      <vt:lpstr>Invoice Generator</vt:lpstr>
      <vt:lpstr>Invoice History</vt:lpstr>
      <vt:lpstr>ItemList</vt:lpstr>
      <vt:lpstr>'Invoice Generator'!Print_Area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and Kate Turnquist</dc:creator>
  <cp:lastModifiedBy>Nick and Kate Turnquist</cp:lastModifiedBy>
  <cp:lastPrinted>2026-04-06T19:37:36Z</cp:lastPrinted>
  <dcterms:created xsi:type="dcterms:W3CDTF">2026-03-31T01:33:41Z</dcterms:created>
  <dcterms:modified xsi:type="dcterms:W3CDTF">2026-04-06T19:42:43Z</dcterms:modified>
</cp:coreProperties>
</file>